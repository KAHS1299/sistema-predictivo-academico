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ren\Desktop\UDEC\Machine\"/>
    </mc:Choice>
  </mc:AlternateContent>
  <xr:revisionPtr revIDLastSave="0" documentId="8_{C9C2CDC5-C070-4EA3-A5A8-1FD17EA56709}" xr6:coauthVersionLast="47" xr6:coauthVersionMax="47" xr10:uidLastSave="{00000000-0000-0000-0000-000000000000}"/>
  <bookViews>
    <workbookView xWindow="-108" yWindow="-108" windowWidth="23256" windowHeight="12456" firstSheet="1" activeTab="3" xr2:uid="{00000000-000D-0000-FFFF-FFFF00000000}"/>
  </bookViews>
  <sheets>
    <sheet name="Iteracion 1" sheetId="1" r:id="rId1"/>
    <sheet name="Iteracion 2" sheetId="2" r:id="rId2"/>
    <sheet name="iteracion 3" sheetId="3" r:id="rId3"/>
    <sheet name="kmeans_dataset (1)"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3"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2" i="3"/>
  <c r="H103"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H9" i="1"/>
  <c r="H17" i="1"/>
  <c r="H25" i="1"/>
  <c r="H33" i="1"/>
  <c r="H49" i="1"/>
  <c r="H65" i="1"/>
  <c r="H73" i="1"/>
  <c r="H81" i="1"/>
  <c r="H97" i="1"/>
  <c r="F101" i="3"/>
  <c r="E101" i="3"/>
  <c r="D101" i="3"/>
  <c r="G101" i="3" s="1"/>
  <c r="F100" i="3"/>
  <c r="E100" i="3"/>
  <c r="D100" i="3"/>
  <c r="G100" i="3" s="1"/>
  <c r="G99" i="3"/>
  <c r="F99" i="3"/>
  <c r="E99" i="3"/>
  <c r="D99" i="3"/>
  <c r="F98" i="3"/>
  <c r="E98" i="3"/>
  <c r="D98" i="3"/>
  <c r="G98" i="3" s="1"/>
  <c r="G97" i="3"/>
  <c r="F97" i="3"/>
  <c r="E97" i="3"/>
  <c r="D97" i="3"/>
  <c r="F96" i="3"/>
  <c r="E96" i="3"/>
  <c r="D96" i="3"/>
  <c r="G96" i="3" s="1"/>
  <c r="G95" i="3"/>
  <c r="F95" i="3"/>
  <c r="E95" i="3"/>
  <c r="D95" i="3"/>
  <c r="F94" i="3"/>
  <c r="E94" i="3"/>
  <c r="D94" i="3"/>
  <c r="G94" i="3" s="1"/>
  <c r="G93" i="3"/>
  <c r="F93" i="3"/>
  <c r="E93" i="3"/>
  <c r="D93" i="3"/>
  <c r="F92" i="3"/>
  <c r="E92" i="3"/>
  <c r="D92" i="3"/>
  <c r="G92" i="3" s="1"/>
  <c r="G91" i="3"/>
  <c r="F91" i="3"/>
  <c r="E91" i="3"/>
  <c r="D91" i="3"/>
  <c r="F90" i="3"/>
  <c r="E90" i="3"/>
  <c r="D90" i="3"/>
  <c r="G90" i="3" s="1"/>
  <c r="G89" i="3"/>
  <c r="F89" i="3"/>
  <c r="E89" i="3"/>
  <c r="D89" i="3"/>
  <c r="F88" i="3"/>
  <c r="E88" i="3"/>
  <c r="D88" i="3"/>
  <c r="G88" i="3" s="1"/>
  <c r="G87" i="3"/>
  <c r="F87" i="3"/>
  <c r="E87" i="3"/>
  <c r="D87" i="3"/>
  <c r="F86" i="3"/>
  <c r="E86" i="3"/>
  <c r="D86" i="3"/>
  <c r="G86" i="3" s="1"/>
  <c r="G85" i="3"/>
  <c r="F85" i="3"/>
  <c r="E85" i="3"/>
  <c r="D85" i="3"/>
  <c r="F84" i="3"/>
  <c r="E84" i="3"/>
  <c r="D84" i="3"/>
  <c r="G84" i="3" s="1"/>
  <c r="G83" i="3"/>
  <c r="F83" i="3"/>
  <c r="E83" i="3"/>
  <c r="D83" i="3"/>
  <c r="F82" i="3"/>
  <c r="E82" i="3"/>
  <c r="D82" i="3"/>
  <c r="G82" i="3" s="1"/>
  <c r="G81" i="3"/>
  <c r="F81" i="3"/>
  <c r="E81" i="3"/>
  <c r="D81" i="3"/>
  <c r="F80" i="3"/>
  <c r="E80" i="3"/>
  <c r="D80" i="3"/>
  <c r="G80" i="3" s="1"/>
  <c r="G79" i="3"/>
  <c r="F79" i="3"/>
  <c r="E79" i="3"/>
  <c r="D79" i="3"/>
  <c r="F78" i="3"/>
  <c r="E78" i="3"/>
  <c r="D78" i="3"/>
  <c r="G78" i="3" s="1"/>
  <c r="G77" i="3"/>
  <c r="F77" i="3"/>
  <c r="E77" i="3"/>
  <c r="D77" i="3"/>
  <c r="F76" i="3"/>
  <c r="E76" i="3"/>
  <c r="D76" i="3"/>
  <c r="G76" i="3" s="1"/>
  <c r="G75" i="3"/>
  <c r="F75" i="3"/>
  <c r="E75" i="3"/>
  <c r="D75" i="3"/>
  <c r="F74" i="3"/>
  <c r="E74" i="3"/>
  <c r="D74" i="3"/>
  <c r="G74" i="3" s="1"/>
  <c r="G73" i="3"/>
  <c r="F73" i="3"/>
  <c r="E73" i="3"/>
  <c r="D73" i="3"/>
  <c r="F72" i="3"/>
  <c r="E72" i="3"/>
  <c r="D72" i="3"/>
  <c r="G72" i="3" s="1"/>
  <c r="G71" i="3"/>
  <c r="F71" i="3"/>
  <c r="E71" i="3"/>
  <c r="D71" i="3"/>
  <c r="F70" i="3"/>
  <c r="E70" i="3"/>
  <c r="D70" i="3"/>
  <c r="G70" i="3" s="1"/>
  <c r="G69" i="3"/>
  <c r="F69" i="3"/>
  <c r="E69" i="3"/>
  <c r="D69" i="3"/>
  <c r="F68" i="3"/>
  <c r="E68" i="3"/>
  <c r="D68" i="3"/>
  <c r="G68" i="3" s="1"/>
  <c r="G67" i="3"/>
  <c r="F67" i="3"/>
  <c r="E67" i="3"/>
  <c r="D67" i="3"/>
  <c r="F66" i="3"/>
  <c r="E66" i="3"/>
  <c r="D66" i="3"/>
  <c r="G66" i="3" s="1"/>
  <c r="G65" i="3"/>
  <c r="F65" i="3"/>
  <c r="E65" i="3"/>
  <c r="D65" i="3"/>
  <c r="F64" i="3"/>
  <c r="E64" i="3"/>
  <c r="D64" i="3"/>
  <c r="G64" i="3" s="1"/>
  <c r="G63" i="3"/>
  <c r="F63" i="3"/>
  <c r="E63" i="3"/>
  <c r="D63" i="3"/>
  <c r="F62" i="3"/>
  <c r="E62" i="3"/>
  <c r="D62" i="3"/>
  <c r="G62" i="3" s="1"/>
  <c r="G61" i="3"/>
  <c r="F61" i="3"/>
  <c r="E61" i="3"/>
  <c r="D61" i="3"/>
  <c r="F60" i="3"/>
  <c r="E60" i="3"/>
  <c r="D60" i="3"/>
  <c r="G60" i="3" s="1"/>
  <c r="G59" i="3"/>
  <c r="F59" i="3"/>
  <c r="E59" i="3"/>
  <c r="D59" i="3"/>
  <c r="F58" i="3"/>
  <c r="E58" i="3"/>
  <c r="D58" i="3"/>
  <c r="G58" i="3" s="1"/>
  <c r="G57" i="3"/>
  <c r="F57" i="3"/>
  <c r="E57" i="3"/>
  <c r="D57" i="3"/>
  <c r="F56" i="3"/>
  <c r="E56" i="3"/>
  <c r="D56" i="3"/>
  <c r="G56" i="3" s="1"/>
  <c r="G55" i="3"/>
  <c r="F55" i="3"/>
  <c r="E55" i="3"/>
  <c r="D55" i="3"/>
  <c r="F54" i="3"/>
  <c r="E54" i="3"/>
  <c r="D54" i="3"/>
  <c r="G54" i="3" s="1"/>
  <c r="G53" i="3"/>
  <c r="F53" i="3"/>
  <c r="E53" i="3"/>
  <c r="D53" i="3"/>
  <c r="F52" i="3"/>
  <c r="E52" i="3"/>
  <c r="D52" i="3"/>
  <c r="G52" i="3" s="1"/>
  <c r="G51" i="3"/>
  <c r="F51" i="3"/>
  <c r="E51" i="3"/>
  <c r="D51" i="3"/>
  <c r="F50" i="3"/>
  <c r="E50" i="3"/>
  <c r="D50" i="3"/>
  <c r="G50" i="3" s="1"/>
  <c r="G49" i="3"/>
  <c r="F49" i="3"/>
  <c r="E49" i="3"/>
  <c r="D49" i="3"/>
  <c r="F48" i="3"/>
  <c r="E48" i="3"/>
  <c r="D48" i="3"/>
  <c r="G48" i="3" s="1"/>
  <c r="G47" i="3"/>
  <c r="F47" i="3"/>
  <c r="E47" i="3"/>
  <c r="D47" i="3"/>
  <c r="F46" i="3"/>
  <c r="E46" i="3"/>
  <c r="D46" i="3"/>
  <c r="G46" i="3" s="1"/>
  <c r="G45" i="3"/>
  <c r="F45" i="3"/>
  <c r="E45" i="3"/>
  <c r="D45" i="3"/>
  <c r="F44" i="3"/>
  <c r="E44" i="3"/>
  <c r="D44" i="3"/>
  <c r="G44" i="3" s="1"/>
  <c r="G43" i="3"/>
  <c r="F43" i="3"/>
  <c r="E43" i="3"/>
  <c r="D43" i="3"/>
  <c r="F42" i="3"/>
  <c r="E42" i="3"/>
  <c r="D42" i="3"/>
  <c r="G42" i="3" s="1"/>
  <c r="G41" i="3"/>
  <c r="F41" i="3"/>
  <c r="E41" i="3"/>
  <c r="D41" i="3"/>
  <c r="F40" i="3"/>
  <c r="E40" i="3"/>
  <c r="D40" i="3"/>
  <c r="G40" i="3" s="1"/>
  <c r="G39" i="3"/>
  <c r="F39" i="3"/>
  <c r="E39" i="3"/>
  <c r="D39" i="3"/>
  <c r="F38" i="3"/>
  <c r="E38" i="3"/>
  <c r="D38" i="3"/>
  <c r="G38" i="3" s="1"/>
  <c r="G37" i="3"/>
  <c r="F37" i="3"/>
  <c r="E37" i="3"/>
  <c r="D37" i="3"/>
  <c r="F36" i="3"/>
  <c r="E36" i="3"/>
  <c r="D36" i="3"/>
  <c r="G36" i="3" s="1"/>
  <c r="G35" i="3"/>
  <c r="F35" i="3"/>
  <c r="E35" i="3"/>
  <c r="D35" i="3"/>
  <c r="F34" i="3"/>
  <c r="E34" i="3"/>
  <c r="D34" i="3"/>
  <c r="G34" i="3" s="1"/>
  <c r="G33" i="3"/>
  <c r="F33" i="3"/>
  <c r="E33" i="3"/>
  <c r="D33" i="3"/>
  <c r="F32" i="3"/>
  <c r="E32" i="3"/>
  <c r="D32" i="3"/>
  <c r="G32" i="3" s="1"/>
  <c r="G31" i="3"/>
  <c r="F31" i="3"/>
  <c r="E31" i="3"/>
  <c r="D31" i="3"/>
  <c r="F30" i="3"/>
  <c r="E30" i="3"/>
  <c r="D30" i="3"/>
  <c r="G30" i="3" s="1"/>
  <c r="G29" i="3"/>
  <c r="F29" i="3"/>
  <c r="E29" i="3"/>
  <c r="D29" i="3"/>
  <c r="F28" i="3"/>
  <c r="E28" i="3"/>
  <c r="D28" i="3"/>
  <c r="G28" i="3" s="1"/>
  <c r="G27" i="3"/>
  <c r="F27" i="3"/>
  <c r="E27" i="3"/>
  <c r="D27" i="3"/>
  <c r="F26" i="3"/>
  <c r="E26" i="3"/>
  <c r="D26" i="3"/>
  <c r="G26" i="3" s="1"/>
  <c r="G25" i="3"/>
  <c r="F25" i="3"/>
  <c r="E25" i="3"/>
  <c r="D25" i="3"/>
  <c r="F24" i="3"/>
  <c r="E24" i="3"/>
  <c r="D24" i="3"/>
  <c r="G24" i="3" s="1"/>
  <c r="G23" i="3"/>
  <c r="F23" i="3"/>
  <c r="E23" i="3"/>
  <c r="D23" i="3"/>
  <c r="F22" i="3"/>
  <c r="E22" i="3"/>
  <c r="D22" i="3"/>
  <c r="G22" i="3" s="1"/>
  <c r="G21" i="3"/>
  <c r="F21" i="3"/>
  <c r="E21" i="3"/>
  <c r="D21" i="3"/>
  <c r="F20" i="3"/>
  <c r="E20" i="3"/>
  <c r="D20" i="3"/>
  <c r="G20" i="3" s="1"/>
  <c r="G19" i="3"/>
  <c r="F19" i="3"/>
  <c r="E19" i="3"/>
  <c r="D19" i="3"/>
  <c r="F18" i="3"/>
  <c r="E18" i="3"/>
  <c r="D18" i="3"/>
  <c r="G18" i="3" s="1"/>
  <c r="G17" i="3"/>
  <c r="F17" i="3"/>
  <c r="E17" i="3"/>
  <c r="D17" i="3"/>
  <c r="F16" i="3"/>
  <c r="E16" i="3"/>
  <c r="D16" i="3"/>
  <c r="G16" i="3" s="1"/>
  <c r="G15" i="3"/>
  <c r="F15" i="3"/>
  <c r="E15" i="3"/>
  <c r="D15" i="3"/>
  <c r="F14" i="3"/>
  <c r="E14" i="3"/>
  <c r="D14" i="3"/>
  <c r="G14" i="3" s="1"/>
  <c r="G13" i="3"/>
  <c r="F13" i="3"/>
  <c r="E13" i="3"/>
  <c r="D13" i="3"/>
  <c r="F12" i="3"/>
  <c r="E12" i="3"/>
  <c r="D12" i="3"/>
  <c r="G12" i="3" s="1"/>
  <c r="G11" i="3"/>
  <c r="F11" i="3"/>
  <c r="E11" i="3"/>
  <c r="D11" i="3"/>
  <c r="F10" i="3"/>
  <c r="E10" i="3"/>
  <c r="D10" i="3"/>
  <c r="G10" i="3" s="1"/>
  <c r="F9" i="3"/>
  <c r="G9" i="3" s="1"/>
  <c r="E9" i="3"/>
  <c r="D9" i="3"/>
  <c r="F8" i="3"/>
  <c r="E8" i="3"/>
  <c r="D8" i="3"/>
  <c r="G8" i="3" s="1"/>
  <c r="F7" i="3"/>
  <c r="E7" i="3"/>
  <c r="D7" i="3"/>
  <c r="G7" i="3" s="1"/>
  <c r="F6" i="3"/>
  <c r="E6" i="3"/>
  <c r="D6" i="3"/>
  <c r="G6" i="3" s="1"/>
  <c r="F5" i="3"/>
  <c r="E5" i="3"/>
  <c r="D5" i="3"/>
  <c r="G5" i="3" s="1"/>
  <c r="F4" i="3"/>
  <c r="E4" i="3"/>
  <c r="D4" i="3"/>
  <c r="F3" i="3"/>
  <c r="E3" i="3"/>
  <c r="D3" i="3"/>
  <c r="G3" i="3" s="1"/>
  <c r="F2" i="3"/>
  <c r="E2" i="3"/>
  <c r="D2" i="3"/>
  <c r="G2" i="3" s="1"/>
  <c r="F101" i="2"/>
  <c r="E101" i="2"/>
  <c r="D101" i="2"/>
  <c r="F100" i="2"/>
  <c r="E100" i="2"/>
  <c r="D100" i="2"/>
  <c r="G100" i="2" s="1"/>
  <c r="F99" i="2"/>
  <c r="E99" i="2"/>
  <c r="D99" i="2"/>
  <c r="F98" i="2"/>
  <c r="E98" i="2"/>
  <c r="D98" i="2"/>
  <c r="F97" i="2"/>
  <c r="E97" i="2"/>
  <c r="D97" i="2"/>
  <c r="F96" i="2"/>
  <c r="E96" i="2"/>
  <c r="D96" i="2"/>
  <c r="F95" i="2"/>
  <c r="E95" i="2"/>
  <c r="D95" i="2"/>
  <c r="F94" i="2"/>
  <c r="E94" i="2"/>
  <c r="D94" i="2"/>
  <c r="G94" i="2" s="1"/>
  <c r="F93" i="2"/>
  <c r="E93" i="2"/>
  <c r="D93" i="2"/>
  <c r="F92" i="2"/>
  <c r="E92" i="2"/>
  <c r="D92" i="2"/>
  <c r="G92" i="2" s="1"/>
  <c r="F91" i="2"/>
  <c r="E91" i="2"/>
  <c r="D91" i="2"/>
  <c r="F90" i="2"/>
  <c r="E90" i="2"/>
  <c r="D90" i="2"/>
  <c r="F89" i="2"/>
  <c r="E89" i="2"/>
  <c r="D89" i="2"/>
  <c r="F88" i="2"/>
  <c r="E88" i="2"/>
  <c r="D88" i="2"/>
  <c r="F87" i="2"/>
  <c r="E87" i="2"/>
  <c r="D87" i="2"/>
  <c r="F86" i="2"/>
  <c r="E86" i="2"/>
  <c r="D86" i="2"/>
  <c r="G86" i="2" s="1"/>
  <c r="F85" i="2"/>
  <c r="E85" i="2"/>
  <c r="D85" i="2"/>
  <c r="F84" i="2"/>
  <c r="E84" i="2"/>
  <c r="D84" i="2"/>
  <c r="G84" i="2" s="1"/>
  <c r="F83" i="2"/>
  <c r="E83" i="2"/>
  <c r="D83" i="2"/>
  <c r="F82" i="2"/>
  <c r="E82" i="2"/>
  <c r="D82" i="2"/>
  <c r="F81" i="2"/>
  <c r="E81" i="2"/>
  <c r="D81" i="2"/>
  <c r="F80" i="2"/>
  <c r="E80" i="2"/>
  <c r="D80" i="2"/>
  <c r="F79" i="2"/>
  <c r="E79" i="2"/>
  <c r="D79" i="2"/>
  <c r="G79" i="2" s="1"/>
  <c r="F78" i="2"/>
  <c r="E78" i="2"/>
  <c r="D78" i="2"/>
  <c r="G78" i="2" s="1"/>
  <c r="F77" i="2"/>
  <c r="E77" i="2"/>
  <c r="D77" i="2"/>
  <c r="F76" i="2"/>
  <c r="E76" i="2"/>
  <c r="D76" i="2"/>
  <c r="G76" i="2" s="1"/>
  <c r="F75" i="2"/>
  <c r="E75" i="2"/>
  <c r="D75" i="2"/>
  <c r="F74" i="2"/>
  <c r="E74" i="2"/>
  <c r="D74" i="2"/>
  <c r="F73" i="2"/>
  <c r="E73" i="2"/>
  <c r="D73" i="2"/>
  <c r="F72" i="2"/>
  <c r="E72" i="2"/>
  <c r="D72" i="2"/>
  <c r="F71" i="2"/>
  <c r="E71" i="2"/>
  <c r="D71" i="2"/>
  <c r="G71" i="2" s="1"/>
  <c r="F70" i="2"/>
  <c r="E70" i="2"/>
  <c r="D70" i="2"/>
  <c r="G70" i="2" s="1"/>
  <c r="F69" i="2"/>
  <c r="E69" i="2"/>
  <c r="D69" i="2"/>
  <c r="F68" i="2"/>
  <c r="E68" i="2"/>
  <c r="D68" i="2"/>
  <c r="G68" i="2" s="1"/>
  <c r="F67" i="2"/>
  <c r="E67" i="2"/>
  <c r="D67" i="2"/>
  <c r="F66" i="2"/>
  <c r="E66" i="2"/>
  <c r="D66" i="2"/>
  <c r="F65" i="2"/>
  <c r="E65" i="2"/>
  <c r="D65" i="2"/>
  <c r="F64" i="2"/>
  <c r="E64" i="2"/>
  <c r="D64" i="2"/>
  <c r="F63" i="2"/>
  <c r="E63" i="2"/>
  <c r="D63" i="2"/>
  <c r="G63" i="2" s="1"/>
  <c r="F62" i="2"/>
  <c r="E62" i="2"/>
  <c r="D62" i="2"/>
  <c r="G62" i="2" s="1"/>
  <c r="F61" i="2"/>
  <c r="E61" i="2"/>
  <c r="D61" i="2"/>
  <c r="F60" i="2"/>
  <c r="E60" i="2"/>
  <c r="D60" i="2"/>
  <c r="G60" i="2" s="1"/>
  <c r="F59" i="2"/>
  <c r="E59" i="2"/>
  <c r="D59" i="2"/>
  <c r="F58" i="2"/>
  <c r="E58" i="2"/>
  <c r="D58" i="2"/>
  <c r="F57" i="2"/>
  <c r="E57" i="2"/>
  <c r="D57" i="2"/>
  <c r="F56" i="2"/>
  <c r="E56" i="2"/>
  <c r="D56" i="2"/>
  <c r="F55" i="2"/>
  <c r="E55" i="2"/>
  <c r="D55" i="2"/>
  <c r="G55" i="2" s="1"/>
  <c r="F54" i="2"/>
  <c r="E54" i="2"/>
  <c r="D54" i="2"/>
  <c r="G54" i="2" s="1"/>
  <c r="F53" i="2"/>
  <c r="E53" i="2"/>
  <c r="D53" i="2"/>
  <c r="F52" i="2"/>
  <c r="E52" i="2"/>
  <c r="D52" i="2"/>
  <c r="G52" i="2" s="1"/>
  <c r="F51" i="2"/>
  <c r="E51" i="2"/>
  <c r="D51" i="2"/>
  <c r="F50" i="2"/>
  <c r="E50" i="2"/>
  <c r="D50" i="2"/>
  <c r="F49" i="2"/>
  <c r="E49" i="2"/>
  <c r="D49" i="2"/>
  <c r="F48" i="2"/>
  <c r="E48" i="2"/>
  <c r="D48" i="2"/>
  <c r="F47" i="2"/>
  <c r="E47" i="2"/>
  <c r="D47" i="2"/>
  <c r="G47" i="2" s="1"/>
  <c r="F46" i="2"/>
  <c r="E46" i="2"/>
  <c r="D46" i="2"/>
  <c r="G46" i="2" s="1"/>
  <c r="F45" i="2"/>
  <c r="E45" i="2"/>
  <c r="D45" i="2"/>
  <c r="F44" i="2"/>
  <c r="E44" i="2"/>
  <c r="D44" i="2"/>
  <c r="G44" i="2" s="1"/>
  <c r="F43" i="2"/>
  <c r="E43" i="2"/>
  <c r="D43" i="2"/>
  <c r="F42" i="2"/>
  <c r="E42" i="2"/>
  <c r="D42" i="2"/>
  <c r="F41" i="2"/>
  <c r="E41" i="2"/>
  <c r="D41" i="2"/>
  <c r="F40" i="2"/>
  <c r="E40" i="2"/>
  <c r="D40" i="2"/>
  <c r="F39" i="2"/>
  <c r="E39" i="2"/>
  <c r="D39" i="2"/>
  <c r="G39" i="2" s="1"/>
  <c r="F38" i="2"/>
  <c r="E38" i="2"/>
  <c r="D38" i="2"/>
  <c r="G38" i="2" s="1"/>
  <c r="F37" i="2"/>
  <c r="E37" i="2"/>
  <c r="D37" i="2"/>
  <c r="F36" i="2"/>
  <c r="E36" i="2"/>
  <c r="D36" i="2"/>
  <c r="G36" i="2" s="1"/>
  <c r="F35" i="2"/>
  <c r="E35" i="2"/>
  <c r="D35" i="2"/>
  <c r="F34" i="2"/>
  <c r="E34" i="2"/>
  <c r="D34" i="2"/>
  <c r="F33" i="2"/>
  <c r="E33" i="2"/>
  <c r="D33" i="2"/>
  <c r="F32" i="2"/>
  <c r="E32" i="2"/>
  <c r="D32" i="2"/>
  <c r="F31" i="2"/>
  <c r="E31" i="2"/>
  <c r="D31" i="2"/>
  <c r="G31" i="2" s="1"/>
  <c r="F30" i="2"/>
  <c r="E30" i="2"/>
  <c r="D30" i="2"/>
  <c r="G30" i="2" s="1"/>
  <c r="F29" i="2"/>
  <c r="E29" i="2"/>
  <c r="D29" i="2"/>
  <c r="F28" i="2"/>
  <c r="E28" i="2"/>
  <c r="D28" i="2"/>
  <c r="G28" i="2" s="1"/>
  <c r="F27" i="2"/>
  <c r="E27" i="2"/>
  <c r="D27" i="2"/>
  <c r="F26" i="2"/>
  <c r="E26" i="2"/>
  <c r="D26" i="2"/>
  <c r="F25" i="2"/>
  <c r="E25" i="2"/>
  <c r="D25" i="2"/>
  <c r="F24" i="2"/>
  <c r="E24" i="2"/>
  <c r="D24" i="2"/>
  <c r="F23" i="2"/>
  <c r="E23" i="2"/>
  <c r="D23" i="2"/>
  <c r="G23" i="2" s="1"/>
  <c r="F22" i="2"/>
  <c r="E22" i="2"/>
  <c r="D22" i="2"/>
  <c r="G22" i="2" s="1"/>
  <c r="F21" i="2"/>
  <c r="E21" i="2"/>
  <c r="D21" i="2"/>
  <c r="F20" i="2"/>
  <c r="E20" i="2"/>
  <c r="D20" i="2"/>
  <c r="G20" i="2" s="1"/>
  <c r="F19" i="2"/>
  <c r="E19" i="2"/>
  <c r="D19" i="2"/>
  <c r="F18" i="2"/>
  <c r="E18" i="2"/>
  <c r="D18" i="2"/>
  <c r="F17" i="2"/>
  <c r="E17" i="2"/>
  <c r="D17" i="2"/>
  <c r="F16" i="2"/>
  <c r="E16" i="2"/>
  <c r="D16" i="2"/>
  <c r="F15" i="2"/>
  <c r="E15" i="2"/>
  <c r="D15" i="2"/>
  <c r="G15" i="2" s="1"/>
  <c r="F14" i="2"/>
  <c r="E14" i="2"/>
  <c r="D14" i="2"/>
  <c r="G14" i="2" s="1"/>
  <c r="F13" i="2"/>
  <c r="E13" i="2"/>
  <c r="D13" i="2"/>
  <c r="F12" i="2"/>
  <c r="E12" i="2"/>
  <c r="D12" i="2"/>
  <c r="G12" i="2" s="1"/>
  <c r="F11" i="2"/>
  <c r="E11" i="2"/>
  <c r="D11" i="2"/>
  <c r="F10" i="2"/>
  <c r="G10" i="2" s="1"/>
  <c r="E10" i="2"/>
  <c r="D10" i="2"/>
  <c r="F9" i="2"/>
  <c r="E9" i="2"/>
  <c r="D9" i="2"/>
  <c r="F8" i="2"/>
  <c r="E8" i="2"/>
  <c r="D8" i="2"/>
  <c r="F7" i="2"/>
  <c r="E7" i="2"/>
  <c r="D7" i="2"/>
  <c r="F6" i="2"/>
  <c r="E6" i="2"/>
  <c r="D6" i="2"/>
  <c r="G6" i="2" s="1"/>
  <c r="F5" i="2"/>
  <c r="E5" i="2"/>
  <c r="D5" i="2"/>
  <c r="F4" i="2"/>
  <c r="E4" i="2"/>
  <c r="D4" i="2"/>
  <c r="G4" i="2" s="1"/>
  <c r="F3" i="2"/>
  <c r="E3" i="2"/>
  <c r="D3" i="2"/>
  <c r="F2" i="2"/>
  <c r="E2" i="2"/>
  <c r="D2" i="2"/>
  <c r="D21" i="1"/>
  <c r="H21" i="1" s="1"/>
  <c r="D32" i="1"/>
  <c r="H32" i="1" s="1"/>
  <c r="D60" i="1"/>
  <c r="H60" i="1" s="1"/>
  <c r="D40" i="1"/>
  <c r="H40" i="1" s="1"/>
  <c r="D4" i="1"/>
  <c r="H4" i="1" s="1"/>
  <c r="D83" i="1"/>
  <c r="H83" i="1" s="1"/>
  <c r="D12" i="1"/>
  <c r="H12" i="1" s="1"/>
  <c r="D91" i="1"/>
  <c r="H91" i="1" s="1"/>
  <c r="D81" i="1"/>
  <c r="D28" i="1"/>
  <c r="H28" i="1" s="1"/>
  <c r="D96" i="1"/>
  <c r="H96" i="1" s="1"/>
  <c r="D11" i="1"/>
  <c r="H11" i="1" s="1"/>
  <c r="D65" i="1"/>
  <c r="D19" i="1"/>
  <c r="H19" i="1" s="1"/>
  <c r="D73" i="1"/>
  <c r="D27" i="1"/>
  <c r="H27" i="1" s="1"/>
  <c r="D20" i="1"/>
  <c r="H20" i="1" s="1"/>
  <c r="D35" i="1"/>
  <c r="H35" i="1" s="1"/>
  <c r="D25" i="1"/>
  <c r="D43" i="1"/>
  <c r="H43" i="1" s="1"/>
  <c r="D61" i="1"/>
  <c r="H61" i="1" s="1"/>
  <c r="D57" i="1"/>
  <c r="H57" i="1" s="1"/>
  <c r="D75" i="1"/>
  <c r="H75" i="1" s="1"/>
  <c r="D68" i="1"/>
  <c r="H68" i="1" s="1"/>
  <c r="D48" i="1"/>
  <c r="H48" i="1" s="1"/>
  <c r="D76" i="1"/>
  <c r="H76" i="1" s="1"/>
  <c r="D56" i="1"/>
  <c r="H56" i="1" s="1"/>
  <c r="D84" i="1"/>
  <c r="H84" i="1" s="1"/>
  <c r="D64" i="1"/>
  <c r="H64" i="1" s="1"/>
  <c r="D53" i="1"/>
  <c r="H53" i="1" s="1"/>
  <c r="D72" i="1"/>
  <c r="H72" i="1" s="1"/>
  <c r="D97" i="1"/>
  <c r="D51" i="1"/>
  <c r="H51" i="1" s="1"/>
  <c r="D41" i="1"/>
  <c r="D44" i="1"/>
  <c r="H44" i="1" s="1"/>
  <c r="D5" i="1"/>
  <c r="H5" i="1" s="1"/>
  <c r="D77" i="1"/>
  <c r="H77" i="1" s="1"/>
  <c r="D67" i="1"/>
  <c r="H67" i="1" s="1"/>
  <c r="D101" i="1"/>
  <c r="H101" i="1" s="1"/>
  <c r="D29" i="1"/>
  <c r="H29" i="1" s="1"/>
  <c r="D9" i="1"/>
  <c r="D37" i="1"/>
  <c r="H37" i="1" s="1"/>
  <c r="D17" i="1"/>
  <c r="D45" i="1"/>
  <c r="H45" i="1" s="1"/>
  <c r="D99" i="1"/>
  <c r="H99" i="1" s="1"/>
  <c r="D89" i="1"/>
  <c r="H89" i="1" s="1"/>
  <c r="D92" i="1"/>
  <c r="H92" i="1" s="1"/>
  <c r="D8" i="1"/>
  <c r="H8" i="1" s="1"/>
  <c r="D33" i="1"/>
  <c r="D36" i="1"/>
  <c r="H36" i="1" s="1"/>
  <c r="D100" i="1"/>
  <c r="H100" i="1" s="1"/>
  <c r="D16" i="1"/>
  <c r="H16" i="1" s="1"/>
  <c r="D80" i="1"/>
  <c r="H80" i="1" s="1"/>
  <c r="D69" i="1"/>
  <c r="H69" i="1" s="1"/>
  <c r="D59" i="1"/>
  <c r="H59" i="1" s="1"/>
  <c r="D24" i="1"/>
  <c r="H24" i="1" s="1"/>
  <c r="D88" i="1"/>
  <c r="H88" i="1" s="1"/>
  <c r="D49" i="1"/>
  <c r="D85" i="1"/>
  <c r="H85" i="1" s="1"/>
  <c r="D52" i="1"/>
  <c r="H52" i="1" s="1"/>
  <c r="D13" i="1"/>
  <c r="H13" i="1" s="1"/>
  <c r="D93" i="1"/>
  <c r="H93" i="1" s="1"/>
  <c r="D82" i="1"/>
  <c r="H82" i="1" s="1"/>
  <c r="D98" i="1"/>
  <c r="H98" i="1" s="1"/>
  <c r="D74" i="1"/>
  <c r="H74" i="1" s="1"/>
  <c r="D90" i="1"/>
  <c r="H90" i="1" s="1"/>
  <c r="D87" i="1"/>
  <c r="H87" i="1" s="1"/>
  <c r="D94" i="1"/>
  <c r="H94" i="1" s="1"/>
  <c r="D86" i="1"/>
  <c r="H86" i="1" s="1"/>
  <c r="D78" i="1"/>
  <c r="H78" i="1" s="1"/>
  <c r="D70" i="1"/>
  <c r="H70" i="1" s="1"/>
  <c r="D62" i="1"/>
  <c r="H62" i="1" s="1"/>
  <c r="D54" i="1"/>
  <c r="H54" i="1" s="1"/>
  <c r="D46" i="1"/>
  <c r="H46" i="1" s="1"/>
  <c r="D38" i="1"/>
  <c r="H38" i="1" s="1"/>
  <c r="D30" i="1"/>
  <c r="H30" i="1" s="1"/>
  <c r="D22" i="1"/>
  <c r="H22" i="1" s="1"/>
  <c r="D14" i="1"/>
  <c r="H14" i="1" s="1"/>
  <c r="D6" i="1"/>
  <c r="H6" i="1" s="1"/>
  <c r="D3" i="1"/>
  <c r="H3" i="1" s="1"/>
  <c r="D66" i="1"/>
  <c r="H66" i="1" s="1"/>
  <c r="D58" i="1"/>
  <c r="H58" i="1" s="1"/>
  <c r="D50" i="1"/>
  <c r="H50" i="1" s="1"/>
  <c r="D42" i="1"/>
  <c r="H42" i="1" s="1"/>
  <c r="D34" i="1"/>
  <c r="H34" i="1" s="1"/>
  <c r="D26" i="1"/>
  <c r="H26" i="1" s="1"/>
  <c r="D18" i="1"/>
  <c r="H18" i="1" s="1"/>
  <c r="D10" i="1"/>
  <c r="H10" i="1" s="1"/>
  <c r="D95" i="1"/>
  <c r="H95" i="1" s="1"/>
  <c r="D79" i="1"/>
  <c r="H79" i="1" s="1"/>
  <c r="D71" i="1"/>
  <c r="H71" i="1" s="1"/>
  <c r="D63" i="1"/>
  <c r="H63" i="1" s="1"/>
  <c r="D55" i="1"/>
  <c r="H55" i="1" s="1"/>
  <c r="D47" i="1"/>
  <c r="H47" i="1" s="1"/>
  <c r="D39" i="1"/>
  <c r="H39" i="1" s="1"/>
  <c r="D31" i="1"/>
  <c r="H31" i="1" s="1"/>
  <c r="D23" i="1"/>
  <c r="H23" i="1" s="1"/>
  <c r="D15" i="1"/>
  <c r="H15" i="1" s="1"/>
  <c r="D7" i="1"/>
  <c r="H7" i="1" s="1"/>
  <c r="E95" i="1"/>
  <c r="E15" i="1"/>
  <c r="E23" i="1"/>
  <c r="E79" i="1"/>
  <c r="E7" i="1"/>
  <c r="E31" i="1"/>
  <c r="E87" i="1"/>
  <c r="E55" i="1"/>
  <c r="E47" i="1"/>
  <c r="E71" i="1"/>
  <c r="E63" i="1"/>
  <c r="E39" i="1"/>
  <c r="E2" i="1"/>
  <c r="E97" i="1"/>
  <c r="E89" i="1"/>
  <c r="E81" i="1"/>
  <c r="E73" i="1"/>
  <c r="E65" i="1"/>
  <c r="E57" i="1"/>
  <c r="E49" i="1"/>
  <c r="E41" i="1"/>
  <c r="E33" i="1"/>
  <c r="E25" i="1"/>
  <c r="E17" i="1"/>
  <c r="E9" i="1"/>
  <c r="E96" i="1"/>
  <c r="E88" i="1"/>
  <c r="E80" i="1"/>
  <c r="E72" i="1"/>
  <c r="E64" i="1"/>
  <c r="E56" i="1"/>
  <c r="E48" i="1"/>
  <c r="E40" i="1"/>
  <c r="E32" i="1"/>
  <c r="E24" i="1"/>
  <c r="E16" i="1"/>
  <c r="E8" i="1"/>
  <c r="E94" i="1"/>
  <c r="E86" i="1"/>
  <c r="E78" i="1"/>
  <c r="E70" i="1"/>
  <c r="E62" i="1"/>
  <c r="E54" i="1"/>
  <c r="E46" i="1"/>
  <c r="E38" i="1"/>
  <c r="E30" i="1"/>
  <c r="E22" i="1"/>
  <c r="E14" i="1"/>
  <c r="E6" i="1"/>
  <c r="E101" i="1"/>
  <c r="E93" i="1"/>
  <c r="E85" i="1"/>
  <c r="E77" i="1"/>
  <c r="E69" i="1"/>
  <c r="E61" i="1"/>
  <c r="E53" i="1"/>
  <c r="E45" i="1"/>
  <c r="E37" i="1"/>
  <c r="E29" i="1"/>
  <c r="E21" i="1"/>
  <c r="E13" i="1"/>
  <c r="E5" i="1"/>
  <c r="E100" i="1"/>
  <c r="E92" i="1"/>
  <c r="E84" i="1"/>
  <c r="E76" i="1"/>
  <c r="E68" i="1"/>
  <c r="E60" i="1"/>
  <c r="E52" i="1"/>
  <c r="E44" i="1"/>
  <c r="E36" i="1"/>
  <c r="E28" i="1"/>
  <c r="E20" i="1"/>
  <c r="E12" i="1"/>
  <c r="E4" i="1"/>
  <c r="E99" i="1"/>
  <c r="E83" i="1"/>
  <c r="E75" i="1"/>
  <c r="E67" i="1"/>
  <c r="E59" i="1"/>
  <c r="E51" i="1"/>
  <c r="E43" i="1"/>
  <c r="E35" i="1"/>
  <c r="E27" i="1"/>
  <c r="E19" i="1"/>
  <c r="E11" i="1"/>
  <c r="E3" i="1"/>
  <c r="E91" i="1"/>
  <c r="E98" i="1"/>
  <c r="E90" i="1"/>
  <c r="E82" i="1"/>
  <c r="E74" i="1"/>
  <c r="E66" i="1"/>
  <c r="E58" i="1"/>
  <c r="E50" i="1"/>
  <c r="E42" i="1"/>
  <c r="E34" i="1"/>
  <c r="E26" i="1"/>
  <c r="E18" i="1"/>
  <c r="E10" i="1"/>
  <c r="F50" i="1"/>
  <c r="F66" i="1"/>
  <c r="F90" i="1"/>
  <c r="F42" i="1"/>
  <c r="F98" i="1"/>
  <c r="F26" i="1"/>
  <c r="F82" i="1"/>
  <c r="F18" i="1"/>
  <c r="F58" i="1"/>
  <c r="F34" i="1"/>
  <c r="F74" i="1"/>
  <c r="F10" i="1"/>
  <c r="F2" i="1"/>
  <c r="F100" i="1"/>
  <c r="F92" i="1"/>
  <c r="F84" i="1"/>
  <c r="F76" i="1"/>
  <c r="F68" i="1"/>
  <c r="F60" i="1"/>
  <c r="F52" i="1"/>
  <c r="F44" i="1"/>
  <c r="F36" i="1"/>
  <c r="F28" i="1"/>
  <c r="F20" i="1"/>
  <c r="F12" i="1"/>
  <c r="F4" i="1"/>
  <c r="F99" i="1"/>
  <c r="F91" i="1"/>
  <c r="F83" i="1"/>
  <c r="F75" i="1"/>
  <c r="F67" i="1"/>
  <c r="F59" i="1"/>
  <c r="F51" i="1"/>
  <c r="F43" i="1"/>
  <c r="F35" i="1"/>
  <c r="F27" i="1"/>
  <c r="F19" i="1"/>
  <c r="F11" i="1"/>
  <c r="F3" i="1"/>
  <c r="F97" i="1"/>
  <c r="F89" i="1"/>
  <c r="F81" i="1"/>
  <c r="F73" i="1"/>
  <c r="F65" i="1"/>
  <c r="F57" i="1"/>
  <c r="F49" i="1"/>
  <c r="F41" i="1"/>
  <c r="H41" i="1" s="1"/>
  <c r="F33" i="1"/>
  <c r="F25" i="1"/>
  <c r="F17" i="1"/>
  <c r="F9" i="1"/>
  <c r="F96" i="1"/>
  <c r="F88" i="1"/>
  <c r="F80" i="1"/>
  <c r="F72" i="1"/>
  <c r="F64" i="1"/>
  <c r="F56" i="1"/>
  <c r="F48" i="1"/>
  <c r="F40" i="1"/>
  <c r="F32" i="1"/>
  <c r="F24" i="1"/>
  <c r="F16" i="1"/>
  <c r="F8" i="1"/>
  <c r="F95" i="1"/>
  <c r="F87" i="1"/>
  <c r="F79" i="1"/>
  <c r="F71" i="1"/>
  <c r="F63" i="1"/>
  <c r="F55" i="1"/>
  <c r="F47" i="1"/>
  <c r="F39" i="1"/>
  <c r="F31" i="1"/>
  <c r="F23" i="1"/>
  <c r="F15" i="1"/>
  <c r="F7" i="1"/>
  <c r="F94" i="1"/>
  <c r="F86" i="1"/>
  <c r="F78" i="1"/>
  <c r="F70" i="1"/>
  <c r="F62" i="1"/>
  <c r="F54" i="1"/>
  <c r="F46" i="1"/>
  <c r="F38" i="1"/>
  <c r="F30" i="1"/>
  <c r="F22" i="1"/>
  <c r="F14" i="1"/>
  <c r="F6" i="1"/>
  <c r="F101" i="1"/>
  <c r="F93" i="1"/>
  <c r="F85" i="1"/>
  <c r="F77" i="1"/>
  <c r="F69" i="1"/>
  <c r="F61" i="1"/>
  <c r="F53" i="1"/>
  <c r="F45" i="1"/>
  <c r="F37" i="1"/>
  <c r="F29" i="1"/>
  <c r="F21" i="1"/>
  <c r="F13" i="1"/>
  <c r="F5" i="1"/>
  <c r="D2" i="1"/>
  <c r="H2" i="1" s="1"/>
  <c r="H103" i="1" s="1"/>
  <c r="G4" i="3" l="1"/>
  <c r="K8" i="3"/>
  <c r="L10" i="3"/>
  <c r="L9" i="3"/>
  <c r="K9" i="3"/>
  <c r="L8" i="3"/>
  <c r="K10" i="3"/>
  <c r="G3" i="2"/>
  <c r="G9" i="2"/>
  <c r="G17" i="2"/>
  <c r="G25" i="2"/>
  <c r="G33" i="2"/>
  <c r="G41" i="2"/>
  <c r="G49" i="2"/>
  <c r="G57" i="2"/>
  <c r="G65" i="2"/>
  <c r="G73" i="2"/>
  <c r="G81" i="2"/>
  <c r="G89" i="2"/>
  <c r="G97" i="2"/>
  <c r="G87" i="2"/>
  <c r="G95" i="2"/>
  <c r="G2" i="2"/>
  <c r="K10" i="2" s="1"/>
  <c r="G18" i="2"/>
  <c r="G26" i="2"/>
  <c r="G34" i="2"/>
  <c r="G42" i="2"/>
  <c r="G50" i="2"/>
  <c r="G58" i="2"/>
  <c r="G66" i="2"/>
  <c r="G74" i="2"/>
  <c r="G82" i="2"/>
  <c r="G90" i="2"/>
  <c r="G98" i="2"/>
  <c r="G7" i="2"/>
  <c r="G13" i="2"/>
  <c r="G21" i="2"/>
  <c r="G29" i="2"/>
  <c r="G37" i="2"/>
  <c r="G45" i="2"/>
  <c r="G53" i="2"/>
  <c r="G61" i="2"/>
  <c r="G69" i="2"/>
  <c r="G77" i="2"/>
  <c r="G85" i="2"/>
  <c r="G93" i="2"/>
  <c r="G101" i="2"/>
  <c r="G24" i="2"/>
  <c r="G32" i="2"/>
  <c r="G40" i="2"/>
  <c r="G48" i="2"/>
  <c r="G56" i="2"/>
  <c r="G64" i="2"/>
  <c r="G72" i="2"/>
  <c r="G80" i="2"/>
  <c r="G88" i="2"/>
  <c r="G96" i="2"/>
  <c r="G8" i="2"/>
  <c r="G16" i="2"/>
  <c r="G5" i="2"/>
  <c r="G11" i="2"/>
  <c r="G19" i="2"/>
  <c r="G27" i="2"/>
  <c r="G35" i="2"/>
  <c r="G43" i="2"/>
  <c r="G51" i="2"/>
  <c r="G59" i="2"/>
  <c r="G67" i="2"/>
  <c r="G75" i="2"/>
  <c r="G83" i="2"/>
  <c r="G91" i="2"/>
  <c r="G99" i="2"/>
  <c r="K9" i="2"/>
  <c r="G2" i="1"/>
  <c r="G63" i="1"/>
  <c r="G42" i="1"/>
  <c r="G31" i="1"/>
  <c r="G10" i="1"/>
  <c r="G3" i="1"/>
  <c r="G62" i="1"/>
  <c r="G98" i="1"/>
  <c r="G24" i="1"/>
  <c r="G97" i="1"/>
  <c r="G68" i="1"/>
  <c r="G27" i="1"/>
  <c r="G91" i="1"/>
  <c r="G39" i="1"/>
  <c r="G6" i="1"/>
  <c r="G70" i="1"/>
  <c r="G82" i="1"/>
  <c r="G92" i="1"/>
  <c r="G75" i="1"/>
  <c r="G73" i="1"/>
  <c r="G29" i="1"/>
  <c r="G101" i="1"/>
  <c r="G12" i="1"/>
  <c r="G47" i="1"/>
  <c r="G26" i="1"/>
  <c r="G14" i="1"/>
  <c r="G78" i="1"/>
  <c r="G93" i="1"/>
  <c r="G69" i="1"/>
  <c r="G89" i="1"/>
  <c r="G67" i="1"/>
  <c r="G53" i="1"/>
  <c r="G57" i="1"/>
  <c r="G19" i="1"/>
  <c r="G83" i="1"/>
  <c r="G72" i="1"/>
  <c r="G55" i="1"/>
  <c r="G34" i="1"/>
  <c r="G22" i="1"/>
  <c r="G86" i="1"/>
  <c r="G13" i="1"/>
  <c r="G80" i="1"/>
  <c r="G99" i="1"/>
  <c r="G77" i="1"/>
  <c r="G64" i="1"/>
  <c r="G61" i="1"/>
  <c r="G65" i="1"/>
  <c r="G4" i="1"/>
  <c r="L9" i="1" s="1"/>
  <c r="G30" i="1"/>
  <c r="G94" i="1"/>
  <c r="G52" i="1"/>
  <c r="G16" i="1"/>
  <c r="G45" i="1"/>
  <c r="G5" i="1"/>
  <c r="G84" i="1"/>
  <c r="G43" i="1"/>
  <c r="G11" i="1"/>
  <c r="G40" i="1"/>
  <c r="G7" i="1"/>
  <c r="G71" i="1"/>
  <c r="G50" i="1"/>
  <c r="G38" i="1"/>
  <c r="G87" i="1"/>
  <c r="G85" i="1"/>
  <c r="G100" i="1"/>
  <c r="G17" i="1"/>
  <c r="G44" i="1"/>
  <c r="G56" i="1"/>
  <c r="G25" i="1"/>
  <c r="G96" i="1"/>
  <c r="G60" i="1"/>
  <c r="G18" i="1"/>
  <c r="G15" i="1"/>
  <c r="G79" i="1"/>
  <c r="G58" i="1"/>
  <c r="G46" i="1"/>
  <c r="G90" i="1"/>
  <c r="G49" i="1"/>
  <c r="G36" i="1"/>
  <c r="G37" i="1"/>
  <c r="G41" i="1"/>
  <c r="G76" i="1"/>
  <c r="G35" i="1"/>
  <c r="G28" i="1"/>
  <c r="G32" i="1"/>
  <c r="G8" i="1"/>
  <c r="K9" i="1" s="1"/>
  <c r="G59" i="1"/>
  <c r="G23" i="1"/>
  <c r="G95" i="1"/>
  <c r="G66" i="1"/>
  <c r="G54" i="1"/>
  <c r="G74" i="1"/>
  <c r="G88" i="1"/>
  <c r="G33" i="1"/>
  <c r="G9" i="1"/>
  <c r="G51" i="1"/>
  <c r="G48" i="1"/>
  <c r="G20" i="1"/>
  <c r="G81" i="1"/>
  <c r="G21" i="1"/>
  <c r="L10" i="2" l="1"/>
  <c r="L9" i="2"/>
  <c r="K8" i="2"/>
  <c r="L8" i="2"/>
  <c r="L10" i="1"/>
  <c r="K10" i="1"/>
  <c r="L8" i="1"/>
  <c r="K8" i="1"/>
</calcChain>
</file>

<file path=xl/sharedStrings.xml><?xml version="1.0" encoding="utf-8"?>
<sst xmlns="http://schemas.openxmlformats.org/spreadsheetml/2006/main" count="66" uniqueCount="21">
  <si>
    <t>ID</t>
  </si>
  <si>
    <t>Products_Sold (X)</t>
  </si>
  <si>
    <t>Profit (Y)</t>
  </si>
  <si>
    <t>Centroid</t>
  </si>
  <si>
    <t>X</t>
  </si>
  <si>
    <t>Y</t>
  </si>
  <si>
    <t>C1</t>
  </si>
  <si>
    <t>C2</t>
  </si>
  <si>
    <t>C3</t>
  </si>
  <si>
    <t>d(C1)</t>
  </si>
  <si>
    <t>d(C2)</t>
  </si>
  <si>
    <t>d(C3)</t>
  </si>
  <si>
    <t>Cluster</t>
  </si>
  <si>
    <t>New Centroids</t>
  </si>
  <si>
    <t>Iteracion</t>
  </si>
  <si>
    <t>Variance</t>
  </si>
  <si>
    <t>Distancia^2</t>
  </si>
  <si>
    <t>In the first iteration, the centroids were selected manually. The data points were assigned to the nearest centroid based on Euclidean distance. At this stage, the clusters are not well defined, and there is a high variance because the centroids are not yet optimized.</t>
  </si>
  <si>
    <t>In the second iteration, the centroids were updated based on the mean of the assigned data points. The clusters start to become more structured, and some points change their cluster assignment. The variance decreases, indicating better grouping of the data.</t>
  </si>
  <si>
    <t>In the third iteration, the centroids stabilize and only minimal changes occur in cluster assignments. This indicates that the algorithm has converged. The variance is lower, and the clusters are now well defined.</t>
  </si>
  <si>
    <t>The variance decreases across the iterations, which shows that the data points are getting closer to their respective centroids. This confirms that the K-Means algorithm successfully converges and forms well-defined clusters.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</si>
</sst>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Varianza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'kmeans_dataset (1)'!$A$1</c:f>
              <c:strCache>
                <c:ptCount val="1"/>
                <c:pt idx="0">
                  <c:v>Iteracion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'kmeans_dataset (1)'!$A$2:$A$4</c:f>
              <c:numCache>
                <c:formatCode>General</c:formatCode>
                <c:ptCount val="3"/>
                <c:pt idx="0">
                  <c:v>1</c:v>
                </c:pt>
                <c:pt idx="1">
                  <c:v>2</c:v>
                </c:pt>
                <c:pt idx="2">
                  <c:v>3</c:v>
                </c:pt>
              </c:numCache>
            </c:numRef>
          </c:val>
          <c:smooth val="0"/>
          <c:extLst>
            <c:ext xmlns:c16="http://schemas.microsoft.com/office/drawing/2014/chart" uri="{C3380CC4-5D6E-409C-BE32-E72D297353CC}">
              <c16:uniqueId val="{00000000-E028-44C6-A78A-2335ECB918F6}"/>
            </c:ext>
          </c:extLst>
        </c:ser>
        <c:ser>
          <c:idx val="1"/>
          <c:order val="1"/>
          <c:tx>
            <c:strRef>
              <c:f>'kmeans_dataset (1)'!$B$1</c:f>
              <c:strCache>
                <c:ptCount val="1"/>
                <c:pt idx="0">
                  <c:v>Variance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'kmeans_dataset (1)'!$B$2:$B$4</c:f>
              <c:numCache>
                <c:formatCode>0.00</c:formatCode>
                <c:ptCount val="3"/>
                <c:pt idx="0">
                  <c:v>163752092</c:v>
                </c:pt>
                <c:pt idx="1">
                  <c:v>42646001.994459823</c:v>
                </c:pt>
                <c:pt idx="2">
                  <c:v>43255.371133321052</c:v>
                </c:pt>
              </c:numCache>
            </c:numRef>
          </c:val>
          <c:smooth val="0"/>
          <c:extLst>
            <c:ext xmlns:c16="http://schemas.microsoft.com/office/drawing/2014/chart" uri="{C3380CC4-5D6E-409C-BE32-E72D297353CC}">
              <c16:uniqueId val="{00000001-E028-44C6-A78A-2335ECB918F6}"/>
            </c:ext>
          </c:extLst>
        </c:ser>
        <c:dLbls>
          <c:dLblPos val="ctr"/>
          <c:showLegendKey val="0"/>
          <c:showVal val="1"/>
          <c:showCatName val="0"/>
          <c:showSerName val="0"/>
          <c:showPercent val="0"/>
          <c:showBubbleSize val="0"/>
        </c:dLbls>
        <c:smooth val="0"/>
        <c:axId val="1344929567"/>
        <c:axId val="1344931967"/>
      </c:lineChart>
      <c:catAx>
        <c:axId val="134492956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4931967"/>
        <c:crosses val="autoZero"/>
        <c:auto val="1"/>
        <c:lblAlgn val="ctr"/>
        <c:lblOffset val="100"/>
        <c:noMultiLvlLbl val="0"/>
      </c:catAx>
      <c:valAx>
        <c:axId val="134493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492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739775</xdr:colOff>
      <xdr:row>0</xdr:row>
      <xdr:rowOff>25400</xdr:rowOff>
    </xdr:from>
    <xdr:to>
      <xdr:col>8</xdr:col>
      <xdr:colOff>739775</xdr:colOff>
      <xdr:row>15</xdr:row>
      <xdr:rowOff>6350</xdr:rowOff>
    </xdr:to>
    <xdr:graphicFrame macro="">
      <xdr:nvGraphicFramePr>
        <xdr:cNvPr id="2" name="Gráfico 1">
          <a:extLst>
            <a:ext uri="{FF2B5EF4-FFF2-40B4-BE49-F238E27FC236}">
              <a16:creationId xmlns:a16="http://schemas.microsoft.com/office/drawing/2014/main" id="{004DFEBC-7BDD-6739-353A-E448B49BA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3"/>
  <sheetViews>
    <sheetView workbookViewId="0">
      <selection activeCell="P12" sqref="P12"/>
    </sheetView>
  </sheetViews>
  <sheetFormatPr baseColWidth="10" defaultColWidth="8.77734375" defaultRowHeight="14.4" x14ac:dyDescent="0.3"/>
  <cols>
    <col min="2" max="2" width="15.33203125" bestFit="1" customWidth="1"/>
    <col min="3" max="3" width="8.109375" bestFit="1" customWidth="1"/>
    <col min="8" max="8" width="9.77734375" bestFit="1" customWidth="1"/>
    <col min="10" max="10" width="13" bestFit="1" customWidth="1"/>
  </cols>
  <sheetData>
    <row r="1" spans="1:17" x14ac:dyDescent="0.3">
      <c r="A1" t="s">
        <v>0</v>
      </c>
      <c r="B1" t="s">
        <v>1</v>
      </c>
      <c r="C1" t="s">
        <v>2</v>
      </c>
      <c r="D1" t="s">
        <v>9</v>
      </c>
      <c r="E1" t="s">
        <v>10</v>
      </c>
      <c r="F1" t="s">
        <v>11</v>
      </c>
      <c r="G1" t="s">
        <v>12</v>
      </c>
      <c r="H1" t="s">
        <v>16</v>
      </c>
      <c r="J1" t="s">
        <v>3</v>
      </c>
      <c r="K1" t="s">
        <v>4</v>
      </c>
      <c r="L1" t="s">
        <v>5</v>
      </c>
    </row>
    <row r="2" spans="1:17" x14ac:dyDescent="0.3">
      <c r="A2">
        <v>1</v>
      </c>
      <c r="B2">
        <v>3</v>
      </c>
      <c r="C2">
        <v>70</v>
      </c>
      <c r="D2">
        <f>SQRT((B2-$K$2)^2+(C2-$L$2)^2)</f>
        <v>70.064256222413434</v>
      </c>
      <c r="E2">
        <f>SQRT((B2-$K$3)^2+(C2-$L$3)^2)</f>
        <v>630.57830600172088</v>
      </c>
      <c r="F2">
        <f>SQRT((B2-$K$4)^2+(C2-$L$4)^2)</f>
        <v>1331.2208682258554</v>
      </c>
      <c r="G2" t="str">
        <f>IF(D2=MIN(D2:F2),"C1",IF(E2=MIN(D2:F2),"C2","C3"))</f>
        <v>C1</v>
      </c>
      <c r="H2">
        <f>MIN(D2:F2)^2</f>
        <v>4909</v>
      </c>
      <c r="J2" t="s">
        <v>6</v>
      </c>
      <c r="K2">
        <v>6</v>
      </c>
      <c r="L2">
        <v>140</v>
      </c>
    </row>
    <row r="3" spans="1:17" x14ac:dyDescent="0.3">
      <c r="A3">
        <v>2</v>
      </c>
      <c r="B3">
        <v>6</v>
      </c>
      <c r="C3">
        <v>140</v>
      </c>
      <c r="D3">
        <f t="shared" ref="D3:D66" si="0">SQRT((B3-$K$2)^2+(C3-$L$2)^2)</f>
        <v>0</v>
      </c>
      <c r="E3">
        <f t="shared" ref="E3:E66" si="1">SQRT((B3-$K$3)^2+(C3-$L$3)^2)</f>
        <v>560.51404977930747</v>
      </c>
      <c r="F3">
        <f t="shared" ref="F3:F66" si="2">SQRT((B3-$K$4)^2+(C3-$L$4)^2)</f>
        <v>1261.1566120034418</v>
      </c>
      <c r="G3" t="str">
        <f t="shared" ref="G3:G66" si="3">IF(D3=MIN(D3:F3),"C1",IF(E3=MIN(D3:F3),"C2","C3"))</f>
        <v>C1</v>
      </c>
      <c r="H3">
        <f t="shared" ref="H3:H66" si="4">MIN(D3:F3)^2</f>
        <v>0</v>
      </c>
      <c r="J3" t="s">
        <v>7</v>
      </c>
      <c r="K3">
        <v>30</v>
      </c>
      <c r="L3">
        <v>700</v>
      </c>
    </row>
    <row r="4" spans="1:17" x14ac:dyDescent="0.3">
      <c r="A4">
        <v>3</v>
      </c>
      <c r="B4">
        <v>9</v>
      </c>
      <c r="C4">
        <v>210</v>
      </c>
      <c r="D4">
        <f t="shared" si="0"/>
        <v>70.064256222413434</v>
      </c>
      <c r="E4">
        <f t="shared" si="1"/>
        <v>490.44979355689406</v>
      </c>
      <c r="F4">
        <f t="shared" si="2"/>
        <v>1191.0923557810283</v>
      </c>
      <c r="G4" t="str">
        <f t="shared" si="3"/>
        <v>C1</v>
      </c>
      <c r="H4">
        <f t="shared" si="4"/>
        <v>4909</v>
      </c>
      <c r="J4" t="s">
        <v>8</v>
      </c>
      <c r="K4">
        <v>60</v>
      </c>
      <c r="L4">
        <v>1400</v>
      </c>
    </row>
    <row r="5" spans="1:17" x14ac:dyDescent="0.3">
      <c r="A5">
        <v>4</v>
      </c>
      <c r="B5">
        <v>12</v>
      </c>
      <c r="C5">
        <v>280</v>
      </c>
      <c r="D5">
        <f t="shared" si="0"/>
        <v>140.12851244482687</v>
      </c>
      <c r="E5">
        <f t="shared" si="1"/>
        <v>420.3855373344806</v>
      </c>
      <c r="F5">
        <f t="shared" si="2"/>
        <v>1121.0280995586149</v>
      </c>
      <c r="G5" t="str">
        <f t="shared" si="3"/>
        <v>C1</v>
      </c>
      <c r="H5">
        <f t="shared" si="4"/>
        <v>19636</v>
      </c>
    </row>
    <row r="6" spans="1:17" x14ac:dyDescent="0.3">
      <c r="A6">
        <v>5</v>
      </c>
      <c r="B6">
        <v>10</v>
      </c>
      <c r="C6">
        <v>250</v>
      </c>
      <c r="D6">
        <f t="shared" si="0"/>
        <v>110.07270324653611</v>
      </c>
      <c r="E6">
        <f t="shared" si="1"/>
        <v>450.4442251822083</v>
      </c>
      <c r="F6">
        <f t="shared" si="2"/>
        <v>1151.0864433221338</v>
      </c>
      <c r="G6" t="str">
        <f t="shared" si="3"/>
        <v>C1</v>
      </c>
      <c r="H6">
        <f t="shared" si="4"/>
        <v>12116</v>
      </c>
    </row>
    <row r="7" spans="1:17" x14ac:dyDescent="0.3">
      <c r="A7">
        <v>6</v>
      </c>
      <c r="B7">
        <v>13</v>
      </c>
      <c r="C7">
        <v>320</v>
      </c>
      <c r="D7">
        <f t="shared" si="0"/>
        <v>180.13605968822566</v>
      </c>
      <c r="E7">
        <f t="shared" si="1"/>
        <v>380.38007308480292</v>
      </c>
      <c r="F7">
        <f t="shared" si="2"/>
        <v>1081.0222014371398</v>
      </c>
      <c r="G7" t="str">
        <f t="shared" si="3"/>
        <v>C1</v>
      </c>
      <c r="H7">
        <f t="shared" si="4"/>
        <v>32448.999999999996</v>
      </c>
      <c r="J7" t="s">
        <v>13</v>
      </c>
      <c r="K7" t="s">
        <v>4</v>
      </c>
      <c r="L7" t="s">
        <v>5</v>
      </c>
    </row>
    <row r="8" spans="1:17" x14ac:dyDescent="0.3">
      <c r="A8">
        <v>7</v>
      </c>
      <c r="B8">
        <v>16</v>
      </c>
      <c r="C8">
        <v>320</v>
      </c>
      <c r="D8">
        <f t="shared" si="0"/>
        <v>180.27756377319946</v>
      </c>
      <c r="E8">
        <f t="shared" si="1"/>
        <v>380.2578072834271</v>
      </c>
      <c r="F8">
        <f t="shared" si="2"/>
        <v>1080.8959246847035</v>
      </c>
      <c r="G8" t="str">
        <f t="shared" si="3"/>
        <v>C1</v>
      </c>
      <c r="H8">
        <f t="shared" si="4"/>
        <v>32500</v>
      </c>
      <c r="J8" t="s">
        <v>6</v>
      </c>
      <c r="K8">
        <f>AVERAGEIF($G:$G,"C1",$B:$B)</f>
        <v>11</v>
      </c>
      <c r="L8">
        <f>AVERAGEIF($G:$G,"C1",$C:$C)</f>
        <v>247.5</v>
      </c>
    </row>
    <row r="9" spans="1:17" x14ac:dyDescent="0.3">
      <c r="A9">
        <v>8</v>
      </c>
      <c r="B9">
        <v>19</v>
      </c>
      <c r="C9">
        <v>390</v>
      </c>
      <c r="D9">
        <f t="shared" si="0"/>
        <v>250.33777182039469</v>
      </c>
      <c r="E9">
        <f t="shared" si="1"/>
        <v>310.19509989682302</v>
      </c>
      <c r="F9">
        <f t="shared" si="2"/>
        <v>1010.8318356680304</v>
      </c>
      <c r="G9" t="str">
        <f t="shared" si="3"/>
        <v>C1</v>
      </c>
      <c r="H9">
        <f t="shared" si="4"/>
        <v>62669</v>
      </c>
      <c r="J9" t="s">
        <v>7</v>
      </c>
      <c r="K9">
        <f>AVERAGEIF($G:$G,"C2",$B:$B)</f>
        <v>35</v>
      </c>
      <c r="L9">
        <f>AVERAGEIF($G:$G,"C2",$C:$C)</f>
        <v>730</v>
      </c>
    </row>
    <row r="10" spans="1:17" x14ac:dyDescent="0.3">
      <c r="A10">
        <v>9</v>
      </c>
      <c r="B10">
        <v>22</v>
      </c>
      <c r="C10">
        <v>460</v>
      </c>
      <c r="D10">
        <f t="shared" si="0"/>
        <v>320.3997503120126</v>
      </c>
      <c r="E10">
        <f t="shared" si="1"/>
        <v>240.13329631685815</v>
      </c>
      <c r="F10">
        <f t="shared" si="2"/>
        <v>940.76777155682794</v>
      </c>
      <c r="G10" t="str">
        <f t="shared" si="3"/>
        <v>C2</v>
      </c>
      <c r="H10">
        <f t="shared" si="4"/>
        <v>57664</v>
      </c>
      <c r="J10" t="s">
        <v>8</v>
      </c>
      <c r="K10">
        <f>AVERAGEIF($G:$G,"C3",$B:$B)</f>
        <v>127</v>
      </c>
      <c r="L10">
        <f>AVERAGEIF($G:$G,"C3",$C:$C)</f>
        <v>2569.8684210526317</v>
      </c>
    </row>
    <row r="11" spans="1:17" x14ac:dyDescent="0.3">
      <c r="A11">
        <v>10</v>
      </c>
      <c r="B11">
        <v>20</v>
      </c>
      <c r="C11">
        <v>430</v>
      </c>
      <c r="D11">
        <f t="shared" si="0"/>
        <v>290.33773437154184</v>
      </c>
      <c r="E11">
        <f t="shared" si="1"/>
        <v>270.18512172212593</v>
      </c>
      <c r="F11">
        <f t="shared" si="2"/>
        <v>970.82439194737992</v>
      </c>
      <c r="G11" t="str">
        <f t="shared" si="3"/>
        <v>C2</v>
      </c>
      <c r="H11">
        <f t="shared" si="4"/>
        <v>73000</v>
      </c>
    </row>
    <row r="12" spans="1:17" x14ac:dyDescent="0.3">
      <c r="A12">
        <v>11</v>
      </c>
      <c r="B12">
        <v>23</v>
      </c>
      <c r="C12">
        <v>500</v>
      </c>
      <c r="D12">
        <f t="shared" si="0"/>
        <v>360.40116536992497</v>
      </c>
      <c r="E12">
        <f t="shared" si="1"/>
        <v>200.12246250733574</v>
      </c>
      <c r="F12">
        <f t="shared" si="2"/>
        <v>900.76023446864042</v>
      </c>
      <c r="G12" t="str">
        <f t="shared" si="3"/>
        <v>C2</v>
      </c>
      <c r="H12">
        <f t="shared" si="4"/>
        <v>40049</v>
      </c>
    </row>
    <row r="13" spans="1:17" x14ac:dyDescent="0.3">
      <c r="A13">
        <v>12</v>
      </c>
      <c r="B13">
        <v>26</v>
      </c>
      <c r="C13">
        <v>570</v>
      </c>
      <c r="D13">
        <f t="shared" si="0"/>
        <v>430.46486500061769</v>
      </c>
      <c r="E13">
        <f t="shared" si="1"/>
        <v>130.06152390311286</v>
      </c>
      <c r="F13">
        <f t="shared" si="2"/>
        <v>830.69609364676808</v>
      </c>
      <c r="G13" t="str">
        <f t="shared" si="3"/>
        <v>C2</v>
      </c>
      <c r="H13">
        <f t="shared" si="4"/>
        <v>16915.999999999996</v>
      </c>
      <c r="J13" s="2" t="s">
        <v>17</v>
      </c>
      <c r="K13" s="2"/>
      <c r="L13" s="2"/>
      <c r="M13" s="2"/>
      <c r="N13" s="2"/>
      <c r="O13" s="2"/>
      <c r="P13" s="2"/>
      <c r="Q13" s="2"/>
    </row>
    <row r="14" spans="1:17" x14ac:dyDescent="0.3">
      <c r="A14">
        <v>13</v>
      </c>
      <c r="B14">
        <v>29</v>
      </c>
      <c r="C14">
        <v>640</v>
      </c>
      <c r="D14">
        <f t="shared" si="0"/>
        <v>500.52872045468081</v>
      </c>
      <c r="E14">
        <f t="shared" si="1"/>
        <v>60.00833275470999</v>
      </c>
      <c r="F14">
        <f t="shared" si="2"/>
        <v>760.63197408470808</v>
      </c>
      <c r="G14" t="str">
        <f t="shared" si="3"/>
        <v>C2</v>
      </c>
      <c r="H14">
        <f t="shared" si="4"/>
        <v>3601</v>
      </c>
      <c r="J14" s="2"/>
      <c r="K14" s="2"/>
      <c r="L14" s="2"/>
      <c r="M14" s="2"/>
      <c r="N14" s="2"/>
      <c r="O14" s="2"/>
      <c r="P14" s="2"/>
      <c r="Q14" s="2"/>
    </row>
    <row r="15" spans="1:17" x14ac:dyDescent="0.3">
      <c r="A15">
        <v>14</v>
      </c>
      <c r="B15">
        <v>32</v>
      </c>
      <c r="C15">
        <v>640</v>
      </c>
      <c r="D15">
        <f t="shared" si="0"/>
        <v>500.67554364078939</v>
      </c>
      <c r="E15">
        <f t="shared" si="1"/>
        <v>60.033324079214538</v>
      </c>
      <c r="F15">
        <f t="shared" si="2"/>
        <v>760.5156145668542</v>
      </c>
      <c r="G15" t="str">
        <f t="shared" si="3"/>
        <v>C2</v>
      </c>
      <c r="H15">
        <f t="shared" si="4"/>
        <v>3604</v>
      </c>
      <c r="J15" s="2"/>
      <c r="K15" s="2"/>
      <c r="L15" s="2"/>
      <c r="M15" s="2"/>
      <c r="N15" s="2"/>
      <c r="O15" s="2"/>
      <c r="P15" s="2"/>
      <c r="Q15" s="2"/>
    </row>
    <row r="16" spans="1:17" x14ac:dyDescent="0.3">
      <c r="A16">
        <v>15</v>
      </c>
      <c r="B16">
        <v>30</v>
      </c>
      <c r="C16">
        <v>610</v>
      </c>
      <c r="D16">
        <f t="shared" si="0"/>
        <v>470.61236702832196</v>
      </c>
      <c r="E16">
        <f t="shared" si="1"/>
        <v>90</v>
      </c>
      <c r="F16">
        <f t="shared" si="2"/>
        <v>790.56941504209487</v>
      </c>
      <c r="G16" t="str">
        <f t="shared" si="3"/>
        <v>C2</v>
      </c>
      <c r="H16">
        <f t="shared" si="4"/>
        <v>8100</v>
      </c>
      <c r="J16" s="2"/>
      <c r="K16" s="2"/>
      <c r="L16" s="2"/>
      <c r="M16" s="2"/>
      <c r="N16" s="2"/>
      <c r="O16" s="2"/>
      <c r="P16" s="2"/>
      <c r="Q16" s="2"/>
    </row>
    <row r="17" spans="1:8" x14ac:dyDescent="0.3">
      <c r="A17">
        <v>16</v>
      </c>
      <c r="B17">
        <v>33</v>
      </c>
      <c r="C17">
        <v>680</v>
      </c>
      <c r="D17">
        <f t="shared" si="0"/>
        <v>540.67457865152119</v>
      </c>
      <c r="E17">
        <f t="shared" si="1"/>
        <v>20.223748416156685</v>
      </c>
      <c r="F17">
        <f t="shared" si="2"/>
        <v>720.50607214651563</v>
      </c>
      <c r="G17" t="str">
        <f t="shared" si="3"/>
        <v>C2</v>
      </c>
      <c r="H17">
        <f t="shared" si="4"/>
        <v>409</v>
      </c>
    </row>
    <row r="18" spans="1:8" x14ac:dyDescent="0.3">
      <c r="A18">
        <v>17</v>
      </c>
      <c r="B18">
        <v>36</v>
      </c>
      <c r="C18">
        <v>750</v>
      </c>
      <c r="D18">
        <f t="shared" si="0"/>
        <v>610.73725938409882</v>
      </c>
      <c r="E18">
        <f t="shared" si="1"/>
        <v>50.358713248056688</v>
      </c>
      <c r="F18">
        <f t="shared" si="2"/>
        <v>650.44292601272866</v>
      </c>
      <c r="G18" t="str">
        <f t="shared" si="3"/>
        <v>C2</v>
      </c>
      <c r="H18">
        <f t="shared" si="4"/>
        <v>2536</v>
      </c>
    </row>
    <row r="19" spans="1:8" x14ac:dyDescent="0.3">
      <c r="A19">
        <v>18</v>
      </c>
      <c r="B19">
        <v>39</v>
      </c>
      <c r="C19">
        <v>820</v>
      </c>
      <c r="D19">
        <f t="shared" si="0"/>
        <v>680.80026439477831</v>
      </c>
      <c r="E19">
        <f t="shared" si="1"/>
        <v>120.33702672078948</v>
      </c>
      <c r="F19">
        <f t="shared" si="2"/>
        <v>580.38004789964998</v>
      </c>
      <c r="G19" t="str">
        <f t="shared" si="3"/>
        <v>C2</v>
      </c>
      <c r="H19">
        <f t="shared" si="4"/>
        <v>14481.000000000002</v>
      </c>
    </row>
    <row r="20" spans="1:8" x14ac:dyDescent="0.3">
      <c r="A20">
        <v>19</v>
      </c>
      <c r="B20">
        <v>42</v>
      </c>
      <c r="C20">
        <v>890</v>
      </c>
      <c r="D20">
        <f t="shared" si="0"/>
        <v>750.86350290848475</v>
      </c>
      <c r="E20">
        <f t="shared" si="1"/>
        <v>190.37857022259621</v>
      </c>
      <c r="F20">
        <f t="shared" si="2"/>
        <v>510.31754819915807</v>
      </c>
      <c r="G20" t="str">
        <f t="shared" si="3"/>
        <v>C2</v>
      </c>
      <c r="H20">
        <f t="shared" si="4"/>
        <v>36243.999999999993</v>
      </c>
    </row>
    <row r="21" spans="1:8" x14ac:dyDescent="0.3">
      <c r="A21">
        <v>20</v>
      </c>
      <c r="B21">
        <v>40</v>
      </c>
      <c r="C21">
        <v>860</v>
      </c>
      <c r="D21">
        <f t="shared" si="0"/>
        <v>720.80233073984994</v>
      </c>
      <c r="E21">
        <f t="shared" si="1"/>
        <v>160.31219541881399</v>
      </c>
      <c r="F21">
        <f t="shared" si="2"/>
        <v>540.37024344425186</v>
      </c>
      <c r="G21" t="str">
        <f t="shared" si="3"/>
        <v>C2</v>
      </c>
      <c r="H21">
        <f t="shared" si="4"/>
        <v>25700.000000000004</v>
      </c>
    </row>
    <row r="22" spans="1:8" x14ac:dyDescent="0.3">
      <c r="A22">
        <v>21</v>
      </c>
      <c r="B22">
        <v>43</v>
      </c>
      <c r="C22">
        <v>860</v>
      </c>
      <c r="D22">
        <f t="shared" si="0"/>
        <v>720.95006761911054</v>
      </c>
      <c r="E22">
        <f t="shared" si="1"/>
        <v>160.52725625263767</v>
      </c>
      <c r="F22">
        <f t="shared" si="2"/>
        <v>540.26752632376486</v>
      </c>
      <c r="G22" t="str">
        <f t="shared" si="3"/>
        <v>C2</v>
      </c>
      <c r="H22">
        <f t="shared" si="4"/>
        <v>25769</v>
      </c>
    </row>
    <row r="23" spans="1:8" x14ac:dyDescent="0.3">
      <c r="A23">
        <v>22</v>
      </c>
      <c r="B23">
        <v>46</v>
      </c>
      <c r="C23">
        <v>930</v>
      </c>
      <c r="D23">
        <f t="shared" si="0"/>
        <v>791.01201002260393</v>
      </c>
      <c r="E23">
        <f t="shared" si="1"/>
        <v>230.5558500667463</v>
      </c>
      <c r="F23">
        <f t="shared" si="2"/>
        <v>470.20846440701172</v>
      </c>
      <c r="G23" t="str">
        <f t="shared" si="3"/>
        <v>C2</v>
      </c>
      <c r="H23">
        <f t="shared" si="4"/>
        <v>53156</v>
      </c>
    </row>
    <row r="24" spans="1:8" x14ac:dyDescent="0.3">
      <c r="A24">
        <v>23</v>
      </c>
      <c r="B24">
        <v>49</v>
      </c>
      <c r="C24">
        <v>1000</v>
      </c>
      <c r="D24">
        <f t="shared" si="0"/>
        <v>861.07432896353373</v>
      </c>
      <c r="E24">
        <f t="shared" si="1"/>
        <v>300.60106453570654</v>
      </c>
      <c r="F24">
        <f t="shared" si="2"/>
        <v>400.15122141510454</v>
      </c>
      <c r="G24" t="str">
        <f t="shared" si="3"/>
        <v>C2</v>
      </c>
      <c r="H24">
        <f t="shared" si="4"/>
        <v>90361.000000000015</v>
      </c>
    </row>
    <row r="25" spans="1:8" x14ac:dyDescent="0.3">
      <c r="A25">
        <v>24</v>
      </c>
      <c r="B25">
        <v>52</v>
      </c>
      <c r="C25">
        <v>1070</v>
      </c>
      <c r="D25">
        <f t="shared" si="0"/>
        <v>931.13693944553609</v>
      </c>
      <c r="E25">
        <f t="shared" si="1"/>
        <v>370.65347698355669</v>
      </c>
      <c r="F25">
        <f t="shared" si="2"/>
        <v>330.0969554539999</v>
      </c>
      <c r="G25" t="str">
        <f t="shared" si="3"/>
        <v>C3</v>
      </c>
      <c r="H25">
        <f t="shared" si="4"/>
        <v>108963.99999999999</v>
      </c>
    </row>
    <row r="26" spans="1:8" x14ac:dyDescent="0.3">
      <c r="A26">
        <v>25</v>
      </c>
      <c r="B26">
        <v>50</v>
      </c>
      <c r="C26">
        <v>1040</v>
      </c>
      <c r="D26">
        <f t="shared" si="0"/>
        <v>901.07491364480904</v>
      </c>
      <c r="E26">
        <f t="shared" si="1"/>
        <v>340.58772731852804</v>
      </c>
      <c r="F26">
        <f t="shared" si="2"/>
        <v>360.13886210738212</v>
      </c>
      <c r="G26" t="str">
        <f t="shared" si="3"/>
        <v>C2</v>
      </c>
      <c r="H26">
        <f t="shared" si="4"/>
        <v>116000.00000000001</v>
      </c>
    </row>
    <row r="27" spans="1:8" x14ac:dyDescent="0.3">
      <c r="A27">
        <v>26</v>
      </c>
      <c r="B27">
        <v>53</v>
      </c>
      <c r="C27">
        <v>1110</v>
      </c>
      <c r="D27">
        <f t="shared" si="0"/>
        <v>971.13799225444779</v>
      </c>
      <c r="E27">
        <f t="shared" si="1"/>
        <v>410.6446152088202</v>
      </c>
      <c r="F27">
        <f t="shared" si="2"/>
        <v>290.0844704564517</v>
      </c>
      <c r="G27" t="str">
        <f t="shared" si="3"/>
        <v>C3</v>
      </c>
      <c r="H27">
        <f t="shared" si="4"/>
        <v>84149</v>
      </c>
    </row>
    <row r="28" spans="1:8" x14ac:dyDescent="0.3">
      <c r="A28">
        <v>27</v>
      </c>
      <c r="B28">
        <v>56</v>
      </c>
      <c r="C28">
        <v>1180</v>
      </c>
      <c r="D28">
        <f t="shared" si="0"/>
        <v>1041.2012293500234</v>
      </c>
      <c r="E28">
        <f t="shared" si="1"/>
        <v>480.70365091186898</v>
      </c>
      <c r="F28">
        <f t="shared" si="2"/>
        <v>220.03636063160107</v>
      </c>
      <c r="G28" t="str">
        <f t="shared" si="3"/>
        <v>C3</v>
      </c>
      <c r="H28">
        <f t="shared" si="4"/>
        <v>48416</v>
      </c>
    </row>
    <row r="29" spans="1:8" x14ac:dyDescent="0.3">
      <c r="A29">
        <v>28</v>
      </c>
      <c r="B29">
        <v>59</v>
      </c>
      <c r="C29">
        <v>1180</v>
      </c>
      <c r="D29">
        <f t="shared" si="0"/>
        <v>1041.3496050798694</v>
      </c>
      <c r="E29">
        <f t="shared" si="1"/>
        <v>480.87524369632507</v>
      </c>
      <c r="F29">
        <f t="shared" si="2"/>
        <v>220.00227271553356</v>
      </c>
      <c r="G29" t="str">
        <f t="shared" si="3"/>
        <v>C3</v>
      </c>
      <c r="H29">
        <f t="shared" si="4"/>
        <v>48401.000000000007</v>
      </c>
    </row>
    <row r="30" spans="1:8" x14ac:dyDescent="0.3">
      <c r="A30">
        <v>29</v>
      </c>
      <c r="B30">
        <v>62</v>
      </c>
      <c r="C30">
        <v>1250</v>
      </c>
      <c r="D30">
        <f t="shared" si="0"/>
        <v>1111.4117148923706</v>
      </c>
      <c r="E30">
        <f t="shared" si="1"/>
        <v>550.93012261084436</v>
      </c>
      <c r="F30">
        <f t="shared" si="2"/>
        <v>150.0133327407934</v>
      </c>
      <c r="G30" t="str">
        <f t="shared" si="3"/>
        <v>C3</v>
      </c>
      <c r="H30">
        <f t="shared" si="4"/>
        <v>22503.999999999996</v>
      </c>
    </row>
    <row r="31" spans="1:8" x14ac:dyDescent="0.3">
      <c r="A31">
        <v>30</v>
      </c>
      <c r="B31">
        <v>60</v>
      </c>
      <c r="C31">
        <v>1220</v>
      </c>
      <c r="D31">
        <f t="shared" si="0"/>
        <v>1081.3491573030424</v>
      </c>
      <c r="E31">
        <f t="shared" si="1"/>
        <v>520.86466572421671</v>
      </c>
      <c r="F31">
        <f t="shared" si="2"/>
        <v>180</v>
      </c>
      <c r="G31" t="str">
        <f t="shared" si="3"/>
        <v>C3</v>
      </c>
      <c r="H31">
        <f t="shared" si="4"/>
        <v>32400</v>
      </c>
    </row>
    <row r="32" spans="1:8" x14ac:dyDescent="0.3">
      <c r="A32">
        <v>31</v>
      </c>
      <c r="B32">
        <v>63</v>
      </c>
      <c r="C32">
        <v>1290</v>
      </c>
      <c r="D32">
        <f t="shared" si="0"/>
        <v>1151.41174216698</v>
      </c>
      <c r="E32">
        <f t="shared" si="1"/>
        <v>590.92216069462143</v>
      </c>
      <c r="F32">
        <f t="shared" si="2"/>
        <v>110.04090148667449</v>
      </c>
      <c r="G32" t="str">
        <f t="shared" si="3"/>
        <v>C3</v>
      </c>
      <c r="H32">
        <f t="shared" si="4"/>
        <v>12108.999999999998</v>
      </c>
    </row>
    <row r="33" spans="1:8" x14ac:dyDescent="0.3">
      <c r="A33">
        <v>32</v>
      </c>
      <c r="B33">
        <v>66</v>
      </c>
      <c r="C33">
        <v>1360</v>
      </c>
      <c r="D33">
        <f t="shared" si="0"/>
        <v>1221.4745187681976</v>
      </c>
      <c r="E33">
        <f t="shared" si="1"/>
        <v>660.98108898817975</v>
      </c>
      <c r="F33">
        <f t="shared" si="2"/>
        <v>40.447496832313369</v>
      </c>
      <c r="G33" t="str">
        <f t="shared" si="3"/>
        <v>C3</v>
      </c>
      <c r="H33">
        <f t="shared" si="4"/>
        <v>1636</v>
      </c>
    </row>
    <row r="34" spans="1:8" x14ac:dyDescent="0.3">
      <c r="A34">
        <v>33</v>
      </c>
      <c r="B34">
        <v>69</v>
      </c>
      <c r="C34">
        <v>1430</v>
      </c>
      <c r="D34">
        <f t="shared" si="0"/>
        <v>1291.5374559028476</v>
      </c>
      <c r="E34">
        <f t="shared" si="1"/>
        <v>731.04103851972638</v>
      </c>
      <c r="F34">
        <f t="shared" si="2"/>
        <v>31.32091952673165</v>
      </c>
      <c r="G34" t="str">
        <f t="shared" si="3"/>
        <v>C3</v>
      </c>
      <c r="H34">
        <f t="shared" si="4"/>
        <v>981</v>
      </c>
    </row>
    <row r="35" spans="1:8" x14ac:dyDescent="0.3">
      <c r="A35">
        <v>34</v>
      </c>
      <c r="B35">
        <v>72</v>
      </c>
      <c r="C35">
        <v>1500</v>
      </c>
      <c r="D35">
        <f t="shared" si="0"/>
        <v>1361.6005287895566</v>
      </c>
      <c r="E35">
        <f t="shared" si="1"/>
        <v>801.10174135374336</v>
      </c>
      <c r="F35">
        <f t="shared" si="2"/>
        <v>100.71742649611338</v>
      </c>
      <c r="G35" t="str">
        <f t="shared" si="3"/>
        <v>C3</v>
      </c>
      <c r="H35">
        <f t="shared" si="4"/>
        <v>10144</v>
      </c>
    </row>
    <row r="36" spans="1:8" x14ac:dyDescent="0.3">
      <c r="A36">
        <v>35</v>
      </c>
      <c r="B36">
        <v>70</v>
      </c>
      <c r="C36">
        <v>1400</v>
      </c>
      <c r="D36">
        <f t="shared" si="0"/>
        <v>1261.6243497967214</v>
      </c>
      <c r="E36">
        <f t="shared" si="1"/>
        <v>701.14192571832416</v>
      </c>
      <c r="F36">
        <f t="shared" si="2"/>
        <v>10</v>
      </c>
      <c r="G36" t="str">
        <f t="shared" si="3"/>
        <v>C3</v>
      </c>
      <c r="H36">
        <f t="shared" si="4"/>
        <v>100</v>
      </c>
    </row>
    <row r="37" spans="1:8" x14ac:dyDescent="0.3">
      <c r="A37">
        <v>36</v>
      </c>
      <c r="B37">
        <v>73</v>
      </c>
      <c r="C37">
        <v>1470</v>
      </c>
      <c r="D37">
        <f t="shared" si="0"/>
        <v>1331.6865246746322</v>
      </c>
      <c r="E37">
        <f t="shared" si="1"/>
        <v>771.1997147302377</v>
      </c>
      <c r="F37">
        <f t="shared" si="2"/>
        <v>71.196910045310247</v>
      </c>
      <c r="G37" t="str">
        <f t="shared" si="3"/>
        <v>C3</v>
      </c>
      <c r="H37">
        <f t="shared" si="4"/>
        <v>5068.9999999999991</v>
      </c>
    </row>
    <row r="38" spans="1:8" x14ac:dyDescent="0.3">
      <c r="A38">
        <v>37</v>
      </c>
      <c r="B38">
        <v>76</v>
      </c>
      <c r="C38">
        <v>1540</v>
      </c>
      <c r="D38">
        <f t="shared" si="0"/>
        <v>1401.748907615055</v>
      </c>
      <c r="E38">
        <f t="shared" si="1"/>
        <v>841.25858093691977</v>
      </c>
      <c r="F38">
        <f t="shared" si="2"/>
        <v>140.91131963046828</v>
      </c>
      <c r="G38" t="str">
        <f t="shared" si="3"/>
        <v>C3</v>
      </c>
      <c r="H38">
        <f t="shared" si="4"/>
        <v>19855.999999999996</v>
      </c>
    </row>
    <row r="39" spans="1:8" x14ac:dyDescent="0.3">
      <c r="A39">
        <v>38</v>
      </c>
      <c r="B39">
        <v>79</v>
      </c>
      <c r="C39">
        <v>1610</v>
      </c>
      <c r="D39">
        <f t="shared" si="0"/>
        <v>1471.8114689049003</v>
      </c>
      <c r="E39">
        <f t="shared" si="1"/>
        <v>911.31827590584396</v>
      </c>
      <c r="F39">
        <f t="shared" si="2"/>
        <v>210.85777196963835</v>
      </c>
      <c r="G39" t="str">
        <f t="shared" si="3"/>
        <v>C3</v>
      </c>
      <c r="H39">
        <f t="shared" si="4"/>
        <v>44461.000000000007</v>
      </c>
    </row>
    <row r="40" spans="1:8" x14ac:dyDescent="0.3">
      <c r="A40">
        <v>39</v>
      </c>
      <c r="B40">
        <v>82</v>
      </c>
      <c r="C40">
        <v>1680</v>
      </c>
      <c r="D40">
        <f t="shared" si="0"/>
        <v>1541.8741842316447</v>
      </c>
      <c r="E40">
        <f t="shared" si="1"/>
        <v>981.37862214336008</v>
      </c>
      <c r="F40">
        <f t="shared" si="2"/>
        <v>280.86295590554482</v>
      </c>
      <c r="G40" t="str">
        <f t="shared" si="3"/>
        <v>C3</v>
      </c>
      <c r="H40">
        <f t="shared" si="4"/>
        <v>78884.000000000015</v>
      </c>
    </row>
    <row r="41" spans="1:8" x14ac:dyDescent="0.3">
      <c r="A41">
        <v>40</v>
      </c>
      <c r="B41">
        <v>80</v>
      </c>
      <c r="C41">
        <v>1650</v>
      </c>
      <c r="D41">
        <f t="shared" si="0"/>
        <v>1511.8121576439316</v>
      </c>
      <c r="E41">
        <f t="shared" si="1"/>
        <v>951.31487952202235</v>
      </c>
      <c r="F41">
        <f t="shared" si="2"/>
        <v>250.79872407968904</v>
      </c>
      <c r="G41" t="str">
        <f t="shared" si="3"/>
        <v>C3</v>
      </c>
      <c r="H41">
        <f t="shared" si="4"/>
        <v>62899.999999999993</v>
      </c>
    </row>
    <row r="42" spans="1:8" x14ac:dyDescent="0.3">
      <c r="A42">
        <v>41</v>
      </c>
      <c r="B42">
        <v>83</v>
      </c>
      <c r="C42">
        <v>1720</v>
      </c>
      <c r="D42">
        <f t="shared" si="0"/>
        <v>1581.8751531015334</v>
      </c>
      <c r="E42">
        <f t="shared" si="1"/>
        <v>1021.376032614825</v>
      </c>
      <c r="F42">
        <f t="shared" si="2"/>
        <v>320.82549773981492</v>
      </c>
      <c r="G42" t="str">
        <f t="shared" si="3"/>
        <v>C3</v>
      </c>
      <c r="H42">
        <f t="shared" si="4"/>
        <v>102928.99999999999</v>
      </c>
    </row>
    <row r="43" spans="1:8" x14ac:dyDescent="0.3">
      <c r="A43">
        <v>42</v>
      </c>
      <c r="B43">
        <v>86</v>
      </c>
      <c r="C43">
        <v>1720</v>
      </c>
      <c r="D43">
        <f t="shared" si="0"/>
        <v>1582.0240200452079</v>
      </c>
      <c r="E43">
        <f t="shared" si="1"/>
        <v>1021.5360982363766</v>
      </c>
      <c r="F43">
        <f t="shared" si="2"/>
        <v>321.05451250527534</v>
      </c>
      <c r="G43" t="str">
        <f t="shared" si="3"/>
        <v>C3</v>
      </c>
      <c r="H43">
        <f t="shared" si="4"/>
        <v>103076</v>
      </c>
    </row>
    <row r="44" spans="1:8" x14ac:dyDescent="0.3">
      <c r="A44">
        <v>43</v>
      </c>
      <c r="B44">
        <v>89</v>
      </c>
      <c r="C44">
        <v>1790</v>
      </c>
      <c r="D44">
        <f t="shared" si="0"/>
        <v>1652.0862568280145</v>
      </c>
      <c r="E44">
        <f t="shared" si="1"/>
        <v>1091.5956210978495</v>
      </c>
      <c r="F44">
        <f t="shared" si="2"/>
        <v>391.07671881614226</v>
      </c>
      <c r="G44" t="str">
        <f t="shared" si="3"/>
        <v>C3</v>
      </c>
      <c r="H44">
        <f t="shared" si="4"/>
        <v>152941</v>
      </c>
    </row>
    <row r="45" spans="1:8" x14ac:dyDescent="0.3">
      <c r="A45">
        <v>44</v>
      </c>
      <c r="B45">
        <v>92</v>
      </c>
      <c r="C45">
        <v>1860</v>
      </c>
      <c r="D45">
        <f t="shared" si="0"/>
        <v>1722.1486579270675</v>
      </c>
      <c r="E45">
        <f t="shared" si="1"/>
        <v>1161.65571491729</v>
      </c>
      <c r="F45">
        <f t="shared" si="2"/>
        <v>461.1117001334926</v>
      </c>
      <c r="G45" t="str">
        <f t="shared" si="3"/>
        <v>C3</v>
      </c>
      <c r="H45">
        <f t="shared" si="4"/>
        <v>212624</v>
      </c>
    </row>
    <row r="46" spans="1:8" x14ac:dyDescent="0.3">
      <c r="A46">
        <v>45</v>
      </c>
      <c r="B46">
        <v>90</v>
      </c>
      <c r="C46">
        <v>1830</v>
      </c>
      <c r="D46">
        <f t="shared" si="0"/>
        <v>1692.0862862159247</v>
      </c>
      <c r="E46">
        <f t="shared" si="1"/>
        <v>1131.591799192624</v>
      </c>
      <c r="F46">
        <f t="shared" si="2"/>
        <v>431.0452412450461</v>
      </c>
      <c r="G46" t="str">
        <f t="shared" si="3"/>
        <v>C3</v>
      </c>
      <c r="H46">
        <f t="shared" si="4"/>
        <v>185800</v>
      </c>
    </row>
    <row r="47" spans="1:8" x14ac:dyDescent="0.3">
      <c r="A47">
        <v>46</v>
      </c>
      <c r="B47">
        <v>93</v>
      </c>
      <c r="C47">
        <v>1900</v>
      </c>
      <c r="D47">
        <f t="shared" si="0"/>
        <v>1762.148972136011</v>
      </c>
      <c r="E47">
        <f t="shared" si="1"/>
        <v>1201.652612030615</v>
      </c>
      <c r="F47">
        <f t="shared" si="2"/>
        <v>501.08781665492529</v>
      </c>
      <c r="G47" t="str">
        <f t="shared" si="3"/>
        <v>C3</v>
      </c>
      <c r="H47">
        <f t="shared" si="4"/>
        <v>251089.00000000003</v>
      </c>
    </row>
    <row r="48" spans="1:8" x14ac:dyDescent="0.3">
      <c r="A48">
        <v>47</v>
      </c>
      <c r="B48">
        <v>96</v>
      </c>
      <c r="C48">
        <v>1970</v>
      </c>
      <c r="D48">
        <f t="shared" si="0"/>
        <v>1832.2117781522963</v>
      </c>
      <c r="E48">
        <f t="shared" si="1"/>
        <v>1271.7138042814508</v>
      </c>
      <c r="F48">
        <f t="shared" si="2"/>
        <v>571.13571066778866</v>
      </c>
      <c r="G48" t="str">
        <f t="shared" si="3"/>
        <v>C3</v>
      </c>
      <c r="H48">
        <f t="shared" si="4"/>
        <v>326196</v>
      </c>
    </row>
    <row r="49" spans="1:8" x14ac:dyDescent="0.3">
      <c r="A49">
        <v>48</v>
      </c>
      <c r="B49">
        <v>99</v>
      </c>
      <c r="C49">
        <v>2040</v>
      </c>
      <c r="D49">
        <f t="shared" si="0"/>
        <v>1902.2746909949678</v>
      </c>
      <c r="E49">
        <f t="shared" si="1"/>
        <v>1341.7753165116728</v>
      </c>
      <c r="F49">
        <f t="shared" si="2"/>
        <v>641.18718015880506</v>
      </c>
      <c r="G49" t="str">
        <f t="shared" si="3"/>
        <v>C3</v>
      </c>
      <c r="H49">
        <f t="shared" si="4"/>
        <v>411120.99999999994</v>
      </c>
    </row>
    <row r="50" spans="1:8" x14ac:dyDescent="0.3">
      <c r="A50">
        <v>49</v>
      </c>
      <c r="B50">
        <v>102</v>
      </c>
      <c r="C50">
        <v>2040</v>
      </c>
      <c r="D50">
        <f t="shared" si="0"/>
        <v>1902.4237172617461</v>
      </c>
      <c r="E50">
        <f t="shared" si="1"/>
        <v>1341.9329342407541</v>
      </c>
      <c r="F50">
        <f t="shared" si="2"/>
        <v>641.37664441418508</v>
      </c>
      <c r="G50" t="str">
        <f t="shared" si="3"/>
        <v>C3</v>
      </c>
      <c r="H50">
        <f t="shared" si="4"/>
        <v>411364</v>
      </c>
    </row>
    <row r="51" spans="1:8" x14ac:dyDescent="0.3">
      <c r="A51">
        <v>50</v>
      </c>
      <c r="B51">
        <v>100</v>
      </c>
      <c r="C51">
        <v>2010</v>
      </c>
      <c r="D51">
        <f t="shared" si="0"/>
        <v>1872.3610762884387</v>
      </c>
      <c r="E51">
        <f t="shared" si="1"/>
        <v>1311.8688958886098</v>
      </c>
      <c r="F51">
        <f t="shared" si="2"/>
        <v>611.31006862311699</v>
      </c>
      <c r="G51" t="str">
        <f t="shared" si="3"/>
        <v>C3</v>
      </c>
      <c r="H51">
        <f t="shared" si="4"/>
        <v>373700</v>
      </c>
    </row>
    <row r="52" spans="1:8" x14ac:dyDescent="0.3">
      <c r="A52">
        <v>51</v>
      </c>
      <c r="B52">
        <v>103</v>
      </c>
      <c r="C52">
        <v>2080</v>
      </c>
      <c r="D52">
        <f t="shared" si="0"/>
        <v>1942.4234862665762</v>
      </c>
      <c r="E52">
        <f t="shared" si="1"/>
        <v>1381.92944827151</v>
      </c>
      <c r="F52">
        <f t="shared" si="2"/>
        <v>681.35820241632086</v>
      </c>
      <c r="G52" t="str">
        <f t="shared" si="3"/>
        <v>C3</v>
      </c>
      <c r="H52">
        <f t="shared" si="4"/>
        <v>464249.00000000006</v>
      </c>
    </row>
    <row r="53" spans="1:8" x14ac:dyDescent="0.3">
      <c r="A53">
        <v>52</v>
      </c>
      <c r="B53">
        <v>106</v>
      </c>
      <c r="C53">
        <v>2150</v>
      </c>
      <c r="D53">
        <f t="shared" si="0"/>
        <v>2012.4860247961972</v>
      </c>
      <c r="E53">
        <f t="shared" si="1"/>
        <v>1451.9903580947087</v>
      </c>
      <c r="F53">
        <f t="shared" si="2"/>
        <v>751.40934250247381</v>
      </c>
      <c r="G53" t="str">
        <f t="shared" si="3"/>
        <v>C3</v>
      </c>
      <c r="H53">
        <f t="shared" si="4"/>
        <v>564616</v>
      </c>
    </row>
    <row r="54" spans="1:8" x14ac:dyDescent="0.3">
      <c r="A54">
        <v>53</v>
      </c>
      <c r="B54">
        <v>109</v>
      </c>
      <c r="C54">
        <v>2220</v>
      </c>
      <c r="D54">
        <f t="shared" si="0"/>
        <v>2082.5486789028487</v>
      </c>
      <c r="E54">
        <f t="shared" si="1"/>
        <v>1522.0515759986586</v>
      </c>
      <c r="F54">
        <f t="shared" si="2"/>
        <v>821.46271978708808</v>
      </c>
      <c r="G54" t="str">
        <f t="shared" si="3"/>
        <v>C3</v>
      </c>
      <c r="H54">
        <f t="shared" si="4"/>
        <v>674801</v>
      </c>
    </row>
    <row r="55" spans="1:8" x14ac:dyDescent="0.3">
      <c r="A55">
        <v>54</v>
      </c>
      <c r="B55">
        <v>112</v>
      </c>
      <c r="C55">
        <v>2290</v>
      </c>
      <c r="D55">
        <f t="shared" si="0"/>
        <v>2152.6114373012142</v>
      </c>
      <c r="E55">
        <f t="shared" si="1"/>
        <v>1592.1130613119158</v>
      </c>
      <c r="F55">
        <f t="shared" si="2"/>
        <v>891.51780688890335</v>
      </c>
      <c r="G55" t="str">
        <f t="shared" si="3"/>
        <v>C3</v>
      </c>
      <c r="H55">
        <f t="shared" si="4"/>
        <v>794804</v>
      </c>
    </row>
    <row r="56" spans="1:8" x14ac:dyDescent="0.3">
      <c r="A56">
        <v>55</v>
      </c>
      <c r="B56">
        <v>110</v>
      </c>
      <c r="C56">
        <v>2260</v>
      </c>
      <c r="D56">
        <f t="shared" si="0"/>
        <v>2122.5494104967261</v>
      </c>
      <c r="E56">
        <f t="shared" si="1"/>
        <v>1562.049935181331</v>
      </c>
      <c r="F56">
        <f t="shared" si="2"/>
        <v>861.45226217127083</v>
      </c>
      <c r="G56" t="str">
        <f t="shared" si="3"/>
        <v>C3</v>
      </c>
      <c r="H56">
        <f t="shared" si="4"/>
        <v>742099.99999999988</v>
      </c>
    </row>
    <row r="57" spans="1:8" x14ac:dyDescent="0.3">
      <c r="A57">
        <v>56</v>
      </c>
      <c r="B57">
        <v>113</v>
      </c>
      <c r="C57">
        <v>2260</v>
      </c>
      <c r="D57">
        <f t="shared" si="0"/>
        <v>2122.698518395865</v>
      </c>
      <c r="E57">
        <f t="shared" si="1"/>
        <v>1562.2064524255429</v>
      </c>
      <c r="F57">
        <f t="shared" si="2"/>
        <v>861.63159180707851</v>
      </c>
      <c r="G57" t="str">
        <f t="shared" si="3"/>
        <v>C3</v>
      </c>
      <c r="H57">
        <f t="shared" si="4"/>
        <v>742409</v>
      </c>
    </row>
    <row r="58" spans="1:8" x14ac:dyDescent="0.3">
      <c r="A58">
        <v>57</v>
      </c>
      <c r="B58">
        <v>116</v>
      </c>
      <c r="C58">
        <v>2330</v>
      </c>
      <c r="D58">
        <f t="shared" si="0"/>
        <v>2192.7608168699112</v>
      </c>
      <c r="E58">
        <f t="shared" si="1"/>
        <v>1632.2671349996606</v>
      </c>
      <c r="F58">
        <f t="shared" si="2"/>
        <v>931.68449595343168</v>
      </c>
      <c r="G58" t="str">
        <f t="shared" si="3"/>
        <v>C3</v>
      </c>
      <c r="H58">
        <f t="shared" si="4"/>
        <v>868036</v>
      </c>
    </row>
    <row r="59" spans="1:8" x14ac:dyDescent="0.3">
      <c r="A59">
        <v>58</v>
      </c>
      <c r="B59">
        <v>119</v>
      </c>
      <c r="C59">
        <v>2400</v>
      </c>
      <c r="D59">
        <f t="shared" si="0"/>
        <v>2262.8232365785889</v>
      </c>
      <c r="E59">
        <f t="shared" si="1"/>
        <v>1702.3281117340453</v>
      </c>
      <c r="F59">
        <f t="shared" si="2"/>
        <v>1001.7389879604367</v>
      </c>
      <c r="G59" t="str">
        <f t="shared" si="3"/>
        <v>C3</v>
      </c>
      <c r="H59">
        <f t="shared" si="4"/>
        <v>1003481</v>
      </c>
    </row>
    <row r="60" spans="1:8" x14ac:dyDescent="0.3">
      <c r="A60">
        <v>59</v>
      </c>
      <c r="B60">
        <v>122</v>
      </c>
      <c r="C60">
        <v>2470</v>
      </c>
      <c r="D60">
        <f t="shared" si="0"/>
        <v>2332.8857665989563</v>
      </c>
      <c r="E60">
        <f t="shared" si="1"/>
        <v>1772.3893477450151</v>
      </c>
      <c r="F60">
        <f t="shared" si="2"/>
        <v>1071.7947564715923</v>
      </c>
      <c r="G60" t="str">
        <f t="shared" si="3"/>
        <v>C3</v>
      </c>
      <c r="H60">
        <f t="shared" si="4"/>
        <v>1148744</v>
      </c>
    </row>
    <row r="61" spans="1:8" x14ac:dyDescent="0.3">
      <c r="A61">
        <v>60</v>
      </c>
      <c r="B61">
        <v>120</v>
      </c>
      <c r="C61">
        <v>2440</v>
      </c>
      <c r="D61">
        <f t="shared" si="0"/>
        <v>2302.8234843339601</v>
      </c>
      <c r="E61">
        <f t="shared" si="1"/>
        <v>1742.3260314877925</v>
      </c>
      <c r="F61">
        <f t="shared" si="2"/>
        <v>1041.7293314484334</v>
      </c>
      <c r="G61" t="str">
        <f t="shared" si="3"/>
        <v>C3</v>
      </c>
      <c r="H61">
        <f t="shared" si="4"/>
        <v>1085200</v>
      </c>
    </row>
    <row r="62" spans="1:8" x14ac:dyDescent="0.3">
      <c r="A62">
        <v>61</v>
      </c>
      <c r="B62">
        <v>123</v>
      </c>
      <c r="C62">
        <v>2510</v>
      </c>
      <c r="D62">
        <f t="shared" si="0"/>
        <v>2372.8862172468362</v>
      </c>
      <c r="E62">
        <f t="shared" si="1"/>
        <v>1812.3876516904434</v>
      </c>
      <c r="F62">
        <f t="shared" si="2"/>
        <v>1111.7864003485561</v>
      </c>
      <c r="G62" t="str">
        <f t="shared" si="3"/>
        <v>C3</v>
      </c>
      <c r="H62">
        <f t="shared" si="4"/>
        <v>1236068.9999999998</v>
      </c>
    </row>
    <row r="63" spans="1:8" x14ac:dyDescent="0.3">
      <c r="A63">
        <v>62</v>
      </c>
      <c r="B63">
        <v>126</v>
      </c>
      <c r="C63">
        <v>2580</v>
      </c>
      <c r="D63">
        <f t="shared" si="0"/>
        <v>2442.9490375363953</v>
      </c>
      <c r="E63">
        <f t="shared" si="1"/>
        <v>1882.4494681132878</v>
      </c>
      <c r="F63">
        <f t="shared" si="2"/>
        <v>1181.8443213892429</v>
      </c>
      <c r="G63" t="str">
        <f t="shared" si="3"/>
        <v>C3</v>
      </c>
      <c r="H63">
        <f t="shared" si="4"/>
        <v>1396756</v>
      </c>
    </row>
    <row r="64" spans="1:8" x14ac:dyDescent="0.3">
      <c r="A64">
        <v>63</v>
      </c>
      <c r="B64">
        <v>129</v>
      </c>
      <c r="C64">
        <v>2580</v>
      </c>
      <c r="D64">
        <f t="shared" si="0"/>
        <v>2443.0982378938429</v>
      </c>
      <c r="E64">
        <f t="shared" si="1"/>
        <v>1882.6048443579443</v>
      </c>
      <c r="F64">
        <f t="shared" si="2"/>
        <v>1182.0156513346176</v>
      </c>
      <c r="G64" t="str">
        <f t="shared" si="3"/>
        <v>C3</v>
      </c>
      <c r="H64">
        <f t="shared" si="4"/>
        <v>1397161.0000000002</v>
      </c>
    </row>
    <row r="65" spans="1:8" x14ac:dyDescent="0.3">
      <c r="A65">
        <v>64</v>
      </c>
      <c r="B65">
        <v>132</v>
      </c>
      <c r="C65">
        <v>2650</v>
      </c>
      <c r="D65">
        <f t="shared" si="0"/>
        <v>2513.160559932453</v>
      </c>
      <c r="E65">
        <f t="shared" si="1"/>
        <v>1952.665870035117</v>
      </c>
      <c r="F65">
        <f t="shared" si="2"/>
        <v>1252.0718829204654</v>
      </c>
      <c r="G65" t="str">
        <f t="shared" si="3"/>
        <v>C3</v>
      </c>
      <c r="H65">
        <f t="shared" si="4"/>
        <v>1567683.9999999998</v>
      </c>
    </row>
    <row r="66" spans="1:8" x14ac:dyDescent="0.3">
      <c r="A66">
        <v>65</v>
      </c>
      <c r="B66">
        <v>130</v>
      </c>
      <c r="C66">
        <v>2620</v>
      </c>
      <c r="D66">
        <f t="shared" si="0"/>
        <v>2483.0980649180974</v>
      </c>
      <c r="E66">
        <f t="shared" si="1"/>
        <v>1922.6024029944413</v>
      </c>
      <c r="F66">
        <f t="shared" si="2"/>
        <v>1222.0065466273084</v>
      </c>
      <c r="G66" t="str">
        <f t="shared" si="3"/>
        <v>C3</v>
      </c>
      <c r="H66">
        <f t="shared" si="4"/>
        <v>1493300</v>
      </c>
    </row>
    <row r="67" spans="1:8" x14ac:dyDescent="0.3">
      <c r="A67">
        <v>66</v>
      </c>
      <c r="B67">
        <v>133</v>
      </c>
      <c r="C67">
        <v>2690</v>
      </c>
      <c r="D67">
        <f t="shared" ref="D67:D101" si="5">SQRT((B67-$K$2)^2+(C67-$L$2)^2)</f>
        <v>2553.1605903272125</v>
      </c>
      <c r="E67">
        <f t="shared" ref="E67:E101" si="6">SQRT((B67-$K$3)^2+(C67-$L$3)^2)</f>
        <v>1992.6637950241379</v>
      </c>
      <c r="F67">
        <f t="shared" ref="F67:F101" si="7">SQRT((B67-$K$4)^2+(C67-$L$4)^2)</f>
        <v>1292.0638529113025</v>
      </c>
      <c r="G67" t="str">
        <f t="shared" ref="G67:G101" si="8">IF(D67=MIN(D67:F67),"C1",IF(E67=MIN(D67:F67),"C2","C3"))</f>
        <v>C3</v>
      </c>
      <c r="H67">
        <f t="shared" ref="H67:H101" si="9">MIN(D67:F67)^2</f>
        <v>1669429</v>
      </c>
    </row>
    <row r="68" spans="1:8" x14ac:dyDescent="0.3">
      <c r="A68">
        <v>67</v>
      </c>
      <c r="B68">
        <v>136</v>
      </c>
      <c r="C68">
        <v>2760</v>
      </c>
      <c r="D68">
        <f t="shared" si="5"/>
        <v>2623.2232081925472</v>
      </c>
      <c r="E68">
        <f t="shared" si="6"/>
        <v>2062.7253816249995</v>
      </c>
      <c r="F68">
        <f t="shared" si="7"/>
        <v>1362.1218741360849</v>
      </c>
      <c r="G68" t="str">
        <f t="shared" si="8"/>
        <v>C3</v>
      </c>
      <c r="H68">
        <f t="shared" si="9"/>
        <v>1855376.0000000002</v>
      </c>
    </row>
    <row r="69" spans="1:8" x14ac:dyDescent="0.3">
      <c r="A69">
        <v>68</v>
      </c>
      <c r="B69">
        <v>139</v>
      </c>
      <c r="C69">
        <v>2830</v>
      </c>
      <c r="D69">
        <f t="shared" si="5"/>
        <v>2693.2859112986871</v>
      </c>
      <c r="E69">
        <f t="shared" si="6"/>
        <v>2132.7871436221667</v>
      </c>
      <c r="F69">
        <f t="shared" si="7"/>
        <v>1432.1805053833123</v>
      </c>
      <c r="G69" t="str">
        <f t="shared" si="8"/>
        <v>C3</v>
      </c>
      <c r="H69">
        <f t="shared" si="9"/>
        <v>2051140.9999999998</v>
      </c>
    </row>
    <row r="70" spans="1:8" x14ac:dyDescent="0.3">
      <c r="A70">
        <v>69</v>
      </c>
      <c r="B70">
        <v>142</v>
      </c>
      <c r="C70">
        <v>2900</v>
      </c>
      <c r="D70">
        <f t="shared" si="5"/>
        <v>2763.3486931619759</v>
      </c>
      <c r="E70">
        <f t="shared" si="6"/>
        <v>2202.8490642801653</v>
      </c>
      <c r="F70">
        <f t="shared" si="7"/>
        <v>1502.2396613057451</v>
      </c>
      <c r="G70" t="str">
        <f t="shared" si="8"/>
        <v>C3</v>
      </c>
      <c r="H70">
        <f t="shared" si="9"/>
        <v>2256724</v>
      </c>
    </row>
    <row r="71" spans="1:8" x14ac:dyDescent="0.3">
      <c r="A71">
        <v>70</v>
      </c>
      <c r="B71">
        <v>140</v>
      </c>
      <c r="C71">
        <v>2800</v>
      </c>
      <c r="D71">
        <f t="shared" si="5"/>
        <v>2663.3730493492644</v>
      </c>
      <c r="E71">
        <f t="shared" si="6"/>
        <v>2102.878978923894</v>
      </c>
      <c r="F71">
        <f t="shared" si="7"/>
        <v>1402.2838514366483</v>
      </c>
      <c r="G71" t="str">
        <f t="shared" si="8"/>
        <v>C3</v>
      </c>
      <c r="H71">
        <f t="shared" si="9"/>
        <v>1966400</v>
      </c>
    </row>
    <row r="72" spans="1:8" x14ac:dyDescent="0.3">
      <c r="A72">
        <v>71</v>
      </c>
      <c r="B72">
        <v>143</v>
      </c>
      <c r="C72">
        <v>2870</v>
      </c>
      <c r="D72">
        <f t="shared" si="5"/>
        <v>2733.4353842737896</v>
      </c>
      <c r="E72">
        <f t="shared" si="6"/>
        <v>2172.9401740498979</v>
      </c>
      <c r="F72">
        <f t="shared" si="7"/>
        <v>1472.3413327078745</v>
      </c>
      <c r="G72" t="str">
        <f t="shared" si="8"/>
        <v>C3</v>
      </c>
      <c r="H72">
        <f t="shared" si="9"/>
        <v>2167789</v>
      </c>
    </row>
    <row r="73" spans="1:8" x14ac:dyDescent="0.3">
      <c r="A73">
        <v>72</v>
      </c>
      <c r="B73">
        <v>146</v>
      </c>
      <c r="C73">
        <v>2940</v>
      </c>
      <c r="D73">
        <f t="shared" si="5"/>
        <v>2803.4978152301101</v>
      </c>
      <c r="E73">
        <f t="shared" si="6"/>
        <v>2243.001560409622</v>
      </c>
      <c r="F73">
        <f t="shared" si="7"/>
        <v>1542.3994294604754</v>
      </c>
      <c r="G73" t="str">
        <f t="shared" si="8"/>
        <v>C3</v>
      </c>
      <c r="H73">
        <f t="shared" si="9"/>
        <v>2378996</v>
      </c>
    </row>
    <row r="74" spans="1:8" x14ac:dyDescent="0.3">
      <c r="A74">
        <v>73</v>
      </c>
      <c r="B74">
        <v>149</v>
      </c>
      <c r="C74">
        <v>3010</v>
      </c>
      <c r="D74">
        <f t="shared" si="5"/>
        <v>2873.5603351939558</v>
      </c>
      <c r="E74">
        <f t="shared" si="6"/>
        <v>2313.0631206259804</v>
      </c>
      <c r="F74">
        <f t="shared" si="7"/>
        <v>1612.4580614701269</v>
      </c>
      <c r="G74" t="str">
        <f t="shared" si="8"/>
        <v>C3</v>
      </c>
      <c r="H74">
        <f t="shared" si="9"/>
        <v>2600020.9999999995</v>
      </c>
    </row>
    <row r="75" spans="1:8" x14ac:dyDescent="0.3">
      <c r="A75">
        <v>74</v>
      </c>
      <c r="B75">
        <v>152</v>
      </c>
      <c r="C75">
        <v>3080</v>
      </c>
      <c r="D75">
        <f t="shared" si="5"/>
        <v>2943.6229378098005</v>
      </c>
      <c r="E75">
        <f t="shared" si="6"/>
        <v>2383.1248393653236</v>
      </c>
      <c r="F75">
        <f t="shared" si="7"/>
        <v>1682.5171618738395</v>
      </c>
      <c r="G75" t="str">
        <f t="shared" si="8"/>
        <v>C3</v>
      </c>
      <c r="H75">
        <f t="shared" si="9"/>
        <v>2830864</v>
      </c>
    </row>
    <row r="76" spans="1:8" x14ac:dyDescent="0.3">
      <c r="A76">
        <v>75</v>
      </c>
      <c r="B76">
        <v>150</v>
      </c>
      <c r="C76">
        <v>3050</v>
      </c>
      <c r="D76">
        <f t="shared" si="5"/>
        <v>2913.5607081370381</v>
      </c>
      <c r="E76">
        <f t="shared" si="6"/>
        <v>2353.0618351416097</v>
      </c>
      <c r="F76">
        <f t="shared" si="7"/>
        <v>1652.4527224704493</v>
      </c>
      <c r="G76" t="str">
        <f t="shared" si="8"/>
        <v>C3</v>
      </c>
      <c r="H76">
        <f t="shared" si="9"/>
        <v>2730600</v>
      </c>
    </row>
    <row r="77" spans="1:8" x14ac:dyDescent="0.3">
      <c r="A77">
        <v>76</v>
      </c>
      <c r="B77">
        <v>153</v>
      </c>
      <c r="C77">
        <v>3120</v>
      </c>
      <c r="D77">
        <f t="shared" si="5"/>
        <v>2983.6234682010395</v>
      </c>
      <c r="E77">
        <f t="shared" si="6"/>
        <v>2423.1238102911702</v>
      </c>
      <c r="F77">
        <f t="shared" si="7"/>
        <v>1722.5124092441249</v>
      </c>
      <c r="G77" t="str">
        <f t="shared" si="8"/>
        <v>C3</v>
      </c>
      <c r="H77">
        <f t="shared" si="9"/>
        <v>2967048.9999999995</v>
      </c>
    </row>
    <row r="78" spans="1:8" x14ac:dyDescent="0.3">
      <c r="A78">
        <v>77</v>
      </c>
      <c r="B78">
        <v>156</v>
      </c>
      <c r="C78">
        <v>3120</v>
      </c>
      <c r="D78">
        <f t="shared" si="5"/>
        <v>2983.7727795527594</v>
      </c>
      <c r="E78">
        <f t="shared" si="6"/>
        <v>2423.2779452633986</v>
      </c>
      <c r="F78">
        <f t="shared" si="7"/>
        <v>1722.676986553196</v>
      </c>
      <c r="G78" t="str">
        <f t="shared" si="8"/>
        <v>C3</v>
      </c>
      <c r="H78">
        <f t="shared" si="9"/>
        <v>2967616.0000000005</v>
      </c>
    </row>
    <row r="79" spans="1:8" x14ac:dyDescent="0.3">
      <c r="A79">
        <v>78</v>
      </c>
      <c r="B79">
        <v>159</v>
      </c>
      <c r="C79">
        <v>3190</v>
      </c>
      <c r="D79">
        <f t="shared" si="5"/>
        <v>3053.8351297999047</v>
      </c>
      <c r="E79">
        <f t="shared" si="6"/>
        <v>2493.3393270872698</v>
      </c>
      <c r="F79">
        <f t="shared" si="7"/>
        <v>1792.735619102828</v>
      </c>
      <c r="G79" t="str">
        <f t="shared" si="8"/>
        <v>C3</v>
      </c>
      <c r="H79">
        <f t="shared" si="9"/>
        <v>3213901</v>
      </c>
    </row>
    <row r="80" spans="1:8" x14ac:dyDescent="0.3">
      <c r="A80">
        <v>79</v>
      </c>
      <c r="B80">
        <v>162</v>
      </c>
      <c r="C80">
        <v>3260</v>
      </c>
      <c r="D80">
        <f t="shared" si="5"/>
        <v>3123.8975655421227</v>
      </c>
      <c r="E80">
        <f t="shared" si="6"/>
        <v>2563.4008660371478</v>
      </c>
      <c r="F80">
        <f t="shared" si="7"/>
        <v>1862.7946746756606</v>
      </c>
      <c r="G80" t="str">
        <f t="shared" si="8"/>
        <v>C3</v>
      </c>
      <c r="H80">
        <f t="shared" si="9"/>
        <v>3470004.0000000005</v>
      </c>
    </row>
    <row r="81" spans="1:8" x14ac:dyDescent="0.3">
      <c r="A81">
        <v>80</v>
      </c>
      <c r="B81">
        <v>160</v>
      </c>
      <c r="C81">
        <v>3230</v>
      </c>
      <c r="D81">
        <f t="shared" si="5"/>
        <v>3093.8351604440727</v>
      </c>
      <c r="E81">
        <f t="shared" si="6"/>
        <v>2533.337719294449</v>
      </c>
      <c r="F81">
        <f t="shared" si="7"/>
        <v>1832.7302038216101</v>
      </c>
      <c r="G81" t="str">
        <f t="shared" si="8"/>
        <v>C3</v>
      </c>
      <c r="H81">
        <f t="shared" si="9"/>
        <v>3358900.0000000005</v>
      </c>
    </row>
    <row r="82" spans="1:8" x14ac:dyDescent="0.3">
      <c r="A82">
        <v>81</v>
      </c>
      <c r="B82">
        <v>163</v>
      </c>
      <c r="C82">
        <v>3300</v>
      </c>
      <c r="D82">
        <f t="shared" si="5"/>
        <v>3163.8977543530068</v>
      </c>
      <c r="E82">
        <f t="shared" si="6"/>
        <v>2603.3995083352074</v>
      </c>
      <c r="F82">
        <f t="shared" si="7"/>
        <v>1902.7897939604363</v>
      </c>
      <c r="G82" t="str">
        <f t="shared" si="8"/>
        <v>C3</v>
      </c>
      <c r="H82">
        <f t="shared" si="9"/>
        <v>3620608.9999999995</v>
      </c>
    </row>
    <row r="83" spans="1:8" x14ac:dyDescent="0.3">
      <c r="A83">
        <v>82</v>
      </c>
      <c r="B83">
        <v>166</v>
      </c>
      <c r="C83">
        <v>3370</v>
      </c>
      <c r="D83">
        <f t="shared" si="5"/>
        <v>3233.9604202896485</v>
      </c>
      <c r="E83">
        <f t="shared" si="6"/>
        <v>2673.4614266901253</v>
      </c>
      <c r="F83">
        <f t="shared" si="7"/>
        <v>1972.8497155130697</v>
      </c>
      <c r="G83" t="str">
        <f t="shared" si="8"/>
        <v>C3</v>
      </c>
      <c r="H83">
        <f t="shared" si="9"/>
        <v>3892136</v>
      </c>
    </row>
    <row r="84" spans="1:8" x14ac:dyDescent="0.3">
      <c r="A84">
        <v>83</v>
      </c>
      <c r="B84">
        <v>169</v>
      </c>
      <c r="C84">
        <v>3440</v>
      </c>
      <c r="D84">
        <f t="shared" si="5"/>
        <v>3304.0231536718989</v>
      </c>
      <c r="E84">
        <f t="shared" si="6"/>
        <v>2743.5234644522361</v>
      </c>
      <c r="F84">
        <f t="shared" si="7"/>
        <v>2042.9099343828157</v>
      </c>
      <c r="G84" t="str">
        <f t="shared" si="8"/>
        <v>C3</v>
      </c>
      <c r="H84">
        <f t="shared" si="9"/>
        <v>4173481</v>
      </c>
    </row>
    <row r="85" spans="1:8" x14ac:dyDescent="0.3">
      <c r="A85">
        <v>84</v>
      </c>
      <c r="B85">
        <v>172</v>
      </c>
      <c r="C85">
        <v>3440</v>
      </c>
      <c r="D85">
        <f t="shared" si="5"/>
        <v>3304.172513656029</v>
      </c>
      <c r="E85">
        <f t="shared" si="6"/>
        <v>2743.6770947033838</v>
      </c>
      <c r="F85">
        <f t="shared" si="7"/>
        <v>2043.0721964727531</v>
      </c>
      <c r="G85" t="str">
        <f t="shared" si="8"/>
        <v>C3</v>
      </c>
      <c r="H85">
        <f t="shared" si="9"/>
        <v>4174144</v>
      </c>
    </row>
    <row r="86" spans="1:8" x14ac:dyDescent="0.3">
      <c r="A86">
        <v>85</v>
      </c>
      <c r="B86">
        <v>170</v>
      </c>
      <c r="C86">
        <v>3410</v>
      </c>
      <c r="D86">
        <f t="shared" si="5"/>
        <v>3274.1099553924573</v>
      </c>
      <c r="E86">
        <f t="shared" si="6"/>
        <v>2713.6138266157182</v>
      </c>
      <c r="F86">
        <f t="shared" si="7"/>
        <v>2013.0076999355963</v>
      </c>
      <c r="G86" t="str">
        <f t="shared" si="8"/>
        <v>C3</v>
      </c>
      <c r="H86">
        <f t="shared" si="9"/>
        <v>4052199.9999999995</v>
      </c>
    </row>
    <row r="87" spans="1:8" x14ac:dyDescent="0.3">
      <c r="A87">
        <v>86</v>
      </c>
      <c r="B87">
        <v>173</v>
      </c>
      <c r="C87">
        <v>3480</v>
      </c>
      <c r="D87">
        <f t="shared" si="5"/>
        <v>3344.1723938816313</v>
      </c>
      <c r="E87">
        <f t="shared" si="6"/>
        <v>2783.6754480362829</v>
      </c>
      <c r="F87">
        <f t="shared" si="7"/>
        <v>2083.0672096694334</v>
      </c>
      <c r="G87" t="str">
        <f t="shared" si="8"/>
        <v>C3</v>
      </c>
      <c r="H87">
        <f t="shared" si="9"/>
        <v>4339168.9999999991</v>
      </c>
    </row>
    <row r="88" spans="1:8" x14ac:dyDescent="0.3">
      <c r="A88">
        <v>87</v>
      </c>
      <c r="B88">
        <v>176</v>
      </c>
      <c r="C88">
        <v>3550</v>
      </c>
      <c r="D88">
        <f t="shared" si="5"/>
        <v>3414.2349069740353</v>
      </c>
      <c r="E88">
        <f t="shared" si="6"/>
        <v>2853.7371988324362</v>
      </c>
      <c r="F88">
        <f t="shared" si="7"/>
        <v>2153.1270283009312</v>
      </c>
      <c r="G88" t="str">
        <f t="shared" si="8"/>
        <v>C3</v>
      </c>
      <c r="H88">
        <f t="shared" si="9"/>
        <v>4635955.9999999991</v>
      </c>
    </row>
    <row r="89" spans="1:8" x14ac:dyDescent="0.3">
      <c r="A89">
        <v>88</v>
      </c>
      <c r="B89">
        <v>179</v>
      </c>
      <c r="C89">
        <v>3620</v>
      </c>
      <c r="D89">
        <f t="shared" si="5"/>
        <v>3484.2974901692883</v>
      </c>
      <c r="E89">
        <f t="shared" si="6"/>
        <v>2923.7990697036621</v>
      </c>
      <c r="F89">
        <f t="shared" si="7"/>
        <v>2223.1871266269964</v>
      </c>
      <c r="G89" t="str">
        <f t="shared" si="8"/>
        <v>C3</v>
      </c>
      <c r="H89">
        <f t="shared" si="9"/>
        <v>4942561</v>
      </c>
    </row>
    <row r="90" spans="1:8" x14ac:dyDescent="0.3">
      <c r="A90">
        <v>89</v>
      </c>
      <c r="B90">
        <v>182</v>
      </c>
      <c r="C90">
        <v>3690</v>
      </c>
      <c r="D90">
        <f t="shared" si="5"/>
        <v>3554.3601393218441</v>
      </c>
      <c r="E90">
        <f t="shared" si="6"/>
        <v>2993.8610522200256</v>
      </c>
      <c r="F90">
        <f t="shared" si="7"/>
        <v>2293.2474790131132</v>
      </c>
      <c r="G90" t="str">
        <f t="shared" si="8"/>
        <v>C3</v>
      </c>
      <c r="H90">
        <f t="shared" si="9"/>
        <v>5258983.9999999991</v>
      </c>
    </row>
    <row r="91" spans="1:8" x14ac:dyDescent="0.3">
      <c r="A91">
        <v>90</v>
      </c>
      <c r="B91">
        <v>180</v>
      </c>
      <c r="C91">
        <v>3660</v>
      </c>
      <c r="D91">
        <f t="shared" si="5"/>
        <v>3524.2979442720221</v>
      </c>
      <c r="E91">
        <f t="shared" si="6"/>
        <v>2963.7982387470306</v>
      </c>
      <c r="F91">
        <f t="shared" si="7"/>
        <v>2263.1835983852479</v>
      </c>
      <c r="G91" t="str">
        <f t="shared" si="8"/>
        <v>C3</v>
      </c>
      <c r="H91">
        <f t="shared" si="9"/>
        <v>5121999.9999999991</v>
      </c>
    </row>
    <row r="92" spans="1:8" x14ac:dyDescent="0.3">
      <c r="A92">
        <v>91</v>
      </c>
      <c r="B92">
        <v>183</v>
      </c>
      <c r="C92">
        <v>3660</v>
      </c>
      <c r="D92">
        <f t="shared" si="5"/>
        <v>3524.4473325615181</v>
      </c>
      <c r="E92">
        <f t="shared" si="6"/>
        <v>2963.9515852995978</v>
      </c>
      <c r="F92">
        <f t="shared" si="7"/>
        <v>2263.3446489653315</v>
      </c>
      <c r="G92" t="str">
        <f t="shared" si="8"/>
        <v>C3</v>
      </c>
      <c r="H92">
        <f t="shared" si="9"/>
        <v>5122729</v>
      </c>
    </row>
    <row r="93" spans="1:8" x14ac:dyDescent="0.3">
      <c r="A93">
        <v>92</v>
      </c>
      <c r="B93">
        <v>186</v>
      </c>
      <c r="C93">
        <v>3730</v>
      </c>
      <c r="D93">
        <f t="shared" si="5"/>
        <v>3594.5097023098992</v>
      </c>
      <c r="E93">
        <f t="shared" si="6"/>
        <v>3034.0131838869784</v>
      </c>
      <c r="F93">
        <f t="shared" si="7"/>
        <v>2333.4043798707503</v>
      </c>
      <c r="G93" t="str">
        <f t="shared" si="8"/>
        <v>C3</v>
      </c>
      <c r="H93">
        <f t="shared" si="9"/>
        <v>5444776.0000000009</v>
      </c>
    </row>
    <row r="94" spans="1:8" x14ac:dyDescent="0.3">
      <c r="A94">
        <v>93</v>
      </c>
      <c r="B94">
        <v>189</v>
      </c>
      <c r="C94">
        <v>3800</v>
      </c>
      <c r="D94">
        <f t="shared" si="5"/>
        <v>3664.5721441936439</v>
      </c>
      <c r="E94">
        <f t="shared" si="6"/>
        <v>3104.0749024467823</v>
      </c>
      <c r="F94">
        <f t="shared" si="7"/>
        <v>2403.464374605956</v>
      </c>
      <c r="G94" t="str">
        <f t="shared" si="8"/>
        <v>C3</v>
      </c>
      <c r="H94">
        <f t="shared" si="9"/>
        <v>5776640.9999999991</v>
      </c>
    </row>
    <row r="95" spans="1:8" x14ac:dyDescent="0.3">
      <c r="A95">
        <v>94</v>
      </c>
      <c r="B95">
        <v>192</v>
      </c>
      <c r="C95">
        <v>3870</v>
      </c>
      <c r="D95">
        <f t="shared" si="5"/>
        <v>3734.6346541529333</v>
      </c>
      <c r="E95">
        <f t="shared" si="6"/>
        <v>3174.1367330346689</v>
      </c>
      <c r="F95">
        <f t="shared" si="7"/>
        <v>2473.5246107528424</v>
      </c>
      <c r="G95" t="str">
        <f t="shared" si="8"/>
        <v>C3</v>
      </c>
      <c r="H95">
        <f t="shared" si="9"/>
        <v>6118324</v>
      </c>
    </row>
    <row r="96" spans="1:8" x14ac:dyDescent="0.3">
      <c r="A96">
        <v>95</v>
      </c>
      <c r="B96">
        <v>190</v>
      </c>
      <c r="C96">
        <v>3840</v>
      </c>
      <c r="D96">
        <f t="shared" si="5"/>
        <v>3704.5723099974712</v>
      </c>
      <c r="E96">
        <f t="shared" si="6"/>
        <v>3144.0737904826597</v>
      </c>
      <c r="F96">
        <f t="shared" si="7"/>
        <v>2443.4606606205061</v>
      </c>
      <c r="G96" t="str">
        <f t="shared" si="8"/>
        <v>C3</v>
      </c>
      <c r="H96">
        <f t="shared" si="9"/>
        <v>5970500</v>
      </c>
    </row>
    <row r="97" spans="1:8" x14ac:dyDescent="0.3">
      <c r="A97">
        <v>96</v>
      </c>
      <c r="B97">
        <v>193</v>
      </c>
      <c r="C97">
        <v>3910</v>
      </c>
      <c r="D97">
        <f t="shared" si="5"/>
        <v>3774.6349492368131</v>
      </c>
      <c r="E97">
        <f t="shared" si="6"/>
        <v>3214.1358092028408</v>
      </c>
      <c r="F97">
        <f t="shared" si="7"/>
        <v>2513.5212352395197</v>
      </c>
      <c r="G97" t="str">
        <f t="shared" si="8"/>
        <v>C3</v>
      </c>
      <c r="H97">
        <f t="shared" si="9"/>
        <v>6317789.0000000009</v>
      </c>
    </row>
    <row r="98" spans="1:8" x14ac:dyDescent="0.3">
      <c r="A98">
        <v>97</v>
      </c>
      <c r="B98">
        <v>196</v>
      </c>
      <c r="C98">
        <v>3980</v>
      </c>
      <c r="D98">
        <f t="shared" si="5"/>
        <v>3844.6976474100015</v>
      </c>
      <c r="E98">
        <f t="shared" si="6"/>
        <v>3284.1979233901234</v>
      </c>
      <c r="F98">
        <f t="shared" si="7"/>
        <v>2583.5820095363724</v>
      </c>
      <c r="G98" t="str">
        <f t="shared" si="8"/>
        <v>C3</v>
      </c>
      <c r="H98">
        <f t="shared" si="9"/>
        <v>6674896</v>
      </c>
    </row>
    <row r="99" spans="1:8" x14ac:dyDescent="0.3">
      <c r="A99">
        <v>98</v>
      </c>
      <c r="B99">
        <v>199</v>
      </c>
      <c r="C99">
        <v>3980</v>
      </c>
      <c r="D99">
        <f t="shared" si="5"/>
        <v>3844.8470710809811</v>
      </c>
      <c r="E99">
        <f t="shared" si="6"/>
        <v>3284.3509252209942</v>
      </c>
      <c r="F99">
        <f t="shared" si="7"/>
        <v>2583.7416666532281</v>
      </c>
      <c r="G99" t="str">
        <f t="shared" si="8"/>
        <v>C3</v>
      </c>
      <c r="H99">
        <f t="shared" si="9"/>
        <v>6675721.0000000009</v>
      </c>
    </row>
    <row r="100" spans="1:8" x14ac:dyDescent="0.3">
      <c r="A100">
        <v>99</v>
      </c>
      <c r="B100">
        <v>202</v>
      </c>
      <c r="C100">
        <v>4050</v>
      </c>
      <c r="D100">
        <f t="shared" si="5"/>
        <v>3914.9094497829706</v>
      </c>
      <c r="E100">
        <f t="shared" si="6"/>
        <v>3354.4126162414786</v>
      </c>
      <c r="F100">
        <f t="shared" si="7"/>
        <v>2653.801801190134</v>
      </c>
      <c r="G100" t="str">
        <f t="shared" si="8"/>
        <v>C3</v>
      </c>
      <c r="H100">
        <f t="shared" si="9"/>
        <v>7042664</v>
      </c>
    </row>
    <row r="101" spans="1:8" x14ac:dyDescent="0.3">
      <c r="A101">
        <v>100</v>
      </c>
      <c r="B101">
        <v>200</v>
      </c>
      <c r="C101">
        <v>4020</v>
      </c>
      <c r="D101">
        <f t="shared" si="5"/>
        <v>3884.8469725331524</v>
      </c>
      <c r="E101">
        <f t="shared" si="6"/>
        <v>3324.3495604403579</v>
      </c>
      <c r="F101">
        <f t="shared" si="7"/>
        <v>2623.7377917772196</v>
      </c>
      <c r="G101" t="str">
        <f t="shared" si="8"/>
        <v>C3</v>
      </c>
      <c r="H101">
        <f t="shared" si="9"/>
        <v>6884000.0000000009</v>
      </c>
    </row>
    <row r="103" spans="1:8" x14ac:dyDescent="0.3">
      <c r="H103">
        <f>SUM(H2:H101)</f>
        <v>163752092</v>
      </c>
    </row>
  </sheetData>
  <mergeCells count="1">
    <mergeCell ref="J13:Q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56F8-3EC0-4DBA-9013-2F154598DDFA}">
  <dimension ref="A1:Q103"/>
  <sheetViews>
    <sheetView workbookViewId="0">
      <selection activeCell="O6" sqref="O6"/>
    </sheetView>
  </sheetViews>
  <sheetFormatPr baseColWidth="10" defaultColWidth="8.77734375" defaultRowHeight="14.4" x14ac:dyDescent="0.3"/>
  <cols>
    <col min="2" max="2" width="15.33203125" bestFit="1" customWidth="1"/>
    <col min="3" max="3" width="8.109375" bestFit="1" customWidth="1"/>
    <col min="8" max="8" width="11.77734375" bestFit="1" customWidth="1"/>
    <col min="10" max="10" width="13" bestFit="1" customWidth="1"/>
  </cols>
  <sheetData>
    <row r="1" spans="1:17" x14ac:dyDescent="0.3">
      <c r="A1" t="s">
        <v>0</v>
      </c>
      <c r="B1" t="s">
        <v>1</v>
      </c>
      <c r="C1" t="s">
        <v>2</v>
      </c>
      <c r="D1" t="s">
        <v>9</v>
      </c>
      <c r="E1" t="s">
        <v>10</v>
      </c>
      <c r="F1" t="s">
        <v>11</v>
      </c>
      <c r="G1" t="s">
        <v>12</v>
      </c>
      <c r="H1" t="s">
        <v>16</v>
      </c>
      <c r="J1" t="s">
        <v>3</v>
      </c>
      <c r="K1" t="s">
        <v>4</v>
      </c>
      <c r="L1" t="s">
        <v>5</v>
      </c>
    </row>
    <row r="2" spans="1:17" x14ac:dyDescent="0.3">
      <c r="A2">
        <v>1</v>
      </c>
      <c r="B2">
        <v>3</v>
      </c>
      <c r="C2">
        <v>70</v>
      </c>
      <c r="D2">
        <f>SQRT((B2-$K$2)^2+(C2-$L$2)^2)</f>
        <v>177.68019022952447</v>
      </c>
      <c r="E2">
        <f>SQRT((B2-$K$3)^2+(C2-$L$3)^2)</f>
        <v>660.77530220189067</v>
      </c>
      <c r="F2">
        <f>SQRT((B2-$K$4)^2+(C2-$L$4)^2)</f>
        <v>2502.9418935676831</v>
      </c>
      <c r="G2" t="str">
        <f>IF(D2=MIN(D2:F2),"C1",IF(E2=MIN(D2:F2),"C2","C3"))</f>
        <v>C1</v>
      </c>
      <c r="H2">
        <f>MIN(D2:F2)^2</f>
        <v>31570.250000000004</v>
      </c>
      <c r="J2" t="s">
        <v>6</v>
      </c>
      <c r="K2">
        <v>11</v>
      </c>
      <c r="L2">
        <v>247.5</v>
      </c>
    </row>
    <row r="3" spans="1:17" x14ac:dyDescent="0.3">
      <c r="A3">
        <v>2</v>
      </c>
      <c r="B3">
        <v>6</v>
      </c>
      <c r="C3">
        <v>140</v>
      </c>
      <c r="D3">
        <f t="shared" ref="D3:D66" si="0">SQRT((B3-$K$2)^2+(C3-$L$2)^2)</f>
        <v>107.61621625015442</v>
      </c>
      <c r="E3">
        <f t="shared" ref="E3:E66" si="1">SQRT((B3-$K$3)^2+(C3-$L$3)^2)</f>
        <v>590.71228191057617</v>
      </c>
      <c r="F3">
        <f t="shared" ref="F3:F66" si="2">SQRT((B3-$K$4)^2+(C3-$L$4)^2)</f>
        <v>2432.8792702534192</v>
      </c>
      <c r="G3" t="str">
        <f t="shared" ref="G3:G66" si="3">IF(D3=MIN(D3:F3),"C1",IF(E3=MIN(D3:F3),"C2","C3"))</f>
        <v>C1</v>
      </c>
      <c r="H3">
        <f t="shared" ref="H3:H66" si="4">MIN(D3:F3)^2</f>
        <v>11581.250000000002</v>
      </c>
      <c r="J3" t="s">
        <v>7</v>
      </c>
      <c r="K3">
        <v>35</v>
      </c>
      <c r="L3">
        <v>730</v>
      </c>
    </row>
    <row r="4" spans="1:17" x14ac:dyDescent="0.3">
      <c r="A4">
        <v>3</v>
      </c>
      <c r="B4">
        <v>9</v>
      </c>
      <c r="C4">
        <v>210</v>
      </c>
      <c r="D4">
        <f t="shared" si="0"/>
        <v>37.553295461250798</v>
      </c>
      <c r="E4">
        <f t="shared" si="1"/>
        <v>520.64959425702045</v>
      </c>
      <c r="F4">
        <f t="shared" si="2"/>
        <v>2362.8167437787979</v>
      </c>
      <c r="G4" t="str">
        <f t="shared" si="3"/>
        <v>C1</v>
      </c>
      <c r="H4">
        <f t="shared" si="4"/>
        <v>1410.2499999999998</v>
      </c>
      <c r="J4" t="s">
        <v>8</v>
      </c>
      <c r="K4">
        <v>127</v>
      </c>
      <c r="L4">
        <v>2569.8684210526317</v>
      </c>
    </row>
    <row r="5" spans="1:17" x14ac:dyDescent="0.3">
      <c r="A5">
        <v>4</v>
      </c>
      <c r="B5">
        <v>12</v>
      </c>
      <c r="C5">
        <v>280</v>
      </c>
      <c r="D5">
        <f t="shared" si="0"/>
        <v>32.515380975778214</v>
      </c>
      <c r="E5">
        <f t="shared" si="1"/>
        <v>450.58739440867629</v>
      </c>
      <c r="F5">
        <f t="shared" si="2"/>
        <v>2292.7543230215647</v>
      </c>
      <c r="G5" t="str">
        <f t="shared" si="3"/>
        <v>C1</v>
      </c>
      <c r="H5">
        <f t="shared" si="4"/>
        <v>1057.2499999999998</v>
      </c>
    </row>
    <row r="6" spans="1:17" x14ac:dyDescent="0.3">
      <c r="A6">
        <v>5</v>
      </c>
      <c r="B6">
        <v>10</v>
      </c>
      <c r="C6">
        <v>250</v>
      </c>
      <c r="D6">
        <f t="shared" si="0"/>
        <v>2.6925824035672519</v>
      </c>
      <c r="E6">
        <f t="shared" si="1"/>
        <v>480.65060074861032</v>
      </c>
      <c r="F6">
        <f t="shared" si="2"/>
        <v>2322.8169301512398</v>
      </c>
      <c r="G6" t="str">
        <f t="shared" si="3"/>
        <v>C1</v>
      </c>
      <c r="H6">
        <f t="shared" si="4"/>
        <v>7.2499999999999991</v>
      </c>
    </row>
    <row r="7" spans="1:17" x14ac:dyDescent="0.3">
      <c r="A7">
        <v>6</v>
      </c>
      <c r="B7">
        <v>13</v>
      </c>
      <c r="C7">
        <v>320</v>
      </c>
      <c r="D7">
        <f t="shared" si="0"/>
        <v>72.527580960624903</v>
      </c>
      <c r="E7">
        <f t="shared" si="1"/>
        <v>410.58981964973265</v>
      </c>
      <c r="F7">
        <f t="shared" si="2"/>
        <v>2252.7547385478656</v>
      </c>
      <c r="G7" t="str">
        <f t="shared" si="3"/>
        <v>C1</v>
      </c>
      <c r="H7">
        <f t="shared" si="4"/>
        <v>5260.25</v>
      </c>
      <c r="J7" t="s">
        <v>13</v>
      </c>
      <c r="K7" t="s">
        <v>4</v>
      </c>
      <c r="L7" t="s">
        <v>5</v>
      </c>
    </row>
    <row r="8" spans="1:17" x14ac:dyDescent="0.3">
      <c r="A8">
        <v>7</v>
      </c>
      <c r="B8">
        <v>16</v>
      </c>
      <c r="C8">
        <v>320</v>
      </c>
      <c r="D8">
        <f t="shared" si="0"/>
        <v>72.67220926874316</v>
      </c>
      <c r="E8">
        <f t="shared" si="1"/>
        <v>410.440007796511</v>
      </c>
      <c r="F8">
        <f t="shared" si="2"/>
        <v>2252.6049169905186</v>
      </c>
      <c r="G8" t="str">
        <f t="shared" si="3"/>
        <v>C1</v>
      </c>
      <c r="H8">
        <f t="shared" si="4"/>
        <v>5281.2499999999991</v>
      </c>
      <c r="J8" t="s">
        <v>6</v>
      </c>
      <c r="K8">
        <f>AVERAGEIF($G:$G,"C1",$B:$B)</f>
        <v>13</v>
      </c>
      <c r="L8">
        <f>AVERAGEIF($G:$G,"C1",$C:$C)</f>
        <v>287</v>
      </c>
    </row>
    <row r="9" spans="1:17" x14ac:dyDescent="0.3">
      <c r="A9">
        <v>8</v>
      </c>
      <c r="B9">
        <v>19</v>
      </c>
      <c r="C9">
        <v>390</v>
      </c>
      <c r="D9">
        <f t="shared" si="0"/>
        <v>142.72438474206152</v>
      </c>
      <c r="E9">
        <f t="shared" si="1"/>
        <v>340.37626239207691</v>
      </c>
      <c r="F9">
        <f t="shared" si="2"/>
        <v>2182.5421721246289</v>
      </c>
      <c r="G9" t="str">
        <f t="shared" si="3"/>
        <v>C1</v>
      </c>
      <c r="H9">
        <f t="shared" si="4"/>
        <v>20370.250000000004</v>
      </c>
      <c r="J9" t="s">
        <v>7</v>
      </c>
      <c r="K9">
        <f>AVERAGEIF($G:$G,"C2",$B:$B)</f>
        <v>51</v>
      </c>
      <c r="L9">
        <f>AVERAGEIF($G:$G,"C2",$C:$C)</f>
        <v>1050</v>
      </c>
    </row>
    <row r="10" spans="1:17" x14ac:dyDescent="0.3">
      <c r="A10">
        <v>9</v>
      </c>
      <c r="B10">
        <v>22</v>
      </c>
      <c r="C10">
        <v>460</v>
      </c>
      <c r="D10">
        <f t="shared" si="0"/>
        <v>212.78451541406861</v>
      </c>
      <c r="E10">
        <f t="shared" si="1"/>
        <v>270.31278179176064</v>
      </c>
      <c r="F10">
        <f t="shared" si="2"/>
        <v>2112.4795275114798</v>
      </c>
      <c r="G10" t="str">
        <f t="shared" si="3"/>
        <v>C1</v>
      </c>
      <c r="H10">
        <f t="shared" si="4"/>
        <v>45277.25</v>
      </c>
      <c r="J10" t="s">
        <v>8</v>
      </c>
      <c r="K10">
        <f>AVERAGEIF($G:$G,"C3",$B:$B)</f>
        <v>141</v>
      </c>
      <c r="L10">
        <f>AVERAGEIF($G:$G,"C3",$C:$C)</f>
        <v>2850</v>
      </c>
    </row>
    <row r="11" spans="1:17" x14ac:dyDescent="0.3">
      <c r="A11">
        <v>10</v>
      </c>
      <c r="B11">
        <v>20</v>
      </c>
      <c r="C11">
        <v>430</v>
      </c>
      <c r="D11">
        <f t="shared" si="0"/>
        <v>182.72178304734223</v>
      </c>
      <c r="E11">
        <f t="shared" si="1"/>
        <v>300.37476591751181</v>
      </c>
      <c r="F11">
        <f t="shared" si="2"/>
        <v>2142.5419154402284</v>
      </c>
      <c r="G11" t="str">
        <f t="shared" si="3"/>
        <v>C1</v>
      </c>
      <c r="H11">
        <f t="shared" si="4"/>
        <v>33387.25</v>
      </c>
    </row>
    <row r="12" spans="1:17" x14ac:dyDescent="0.3">
      <c r="A12">
        <v>11</v>
      </c>
      <c r="B12">
        <v>23</v>
      </c>
      <c r="C12">
        <v>500</v>
      </c>
      <c r="D12">
        <f t="shared" si="0"/>
        <v>252.78498768716469</v>
      </c>
      <c r="E12">
        <f t="shared" si="1"/>
        <v>230.31283073246266</v>
      </c>
      <c r="F12">
        <f t="shared" si="2"/>
        <v>2072.4795006153654</v>
      </c>
      <c r="G12" t="str">
        <f t="shared" si="3"/>
        <v>C2</v>
      </c>
      <c r="H12">
        <f t="shared" si="4"/>
        <v>53043.999999999993</v>
      </c>
    </row>
    <row r="13" spans="1:17" x14ac:dyDescent="0.3">
      <c r="A13">
        <v>12</v>
      </c>
      <c r="B13">
        <v>26</v>
      </c>
      <c r="C13">
        <v>570</v>
      </c>
      <c r="D13">
        <f t="shared" si="0"/>
        <v>322.84864875046327</v>
      </c>
      <c r="E13">
        <f t="shared" si="1"/>
        <v>160.25292509030842</v>
      </c>
      <c r="F13">
        <f t="shared" si="2"/>
        <v>2002.4172146492215</v>
      </c>
      <c r="G13" t="str">
        <f t="shared" si="3"/>
        <v>C2</v>
      </c>
      <c r="H13">
        <f t="shared" si="4"/>
        <v>25681.000000000004</v>
      </c>
    </row>
    <row r="14" spans="1:17" x14ac:dyDescent="0.3">
      <c r="A14">
        <v>13</v>
      </c>
      <c r="B14">
        <v>29</v>
      </c>
      <c r="C14">
        <v>640</v>
      </c>
      <c r="D14">
        <f t="shared" si="0"/>
        <v>392.91252207075303</v>
      </c>
      <c r="E14">
        <f t="shared" si="1"/>
        <v>90.199778270237445</v>
      </c>
      <c r="F14">
        <f t="shared" si="2"/>
        <v>1932.3550715580659</v>
      </c>
      <c r="G14" t="str">
        <f t="shared" si="3"/>
        <v>C2</v>
      </c>
      <c r="H14">
        <f t="shared" si="4"/>
        <v>8135.9999999999991</v>
      </c>
      <c r="J14" s="2" t="s">
        <v>18</v>
      </c>
      <c r="K14" s="2"/>
      <c r="L14" s="2"/>
      <c r="M14" s="2"/>
      <c r="N14" s="2"/>
      <c r="O14" s="2"/>
      <c r="P14" s="2"/>
      <c r="Q14" s="2"/>
    </row>
    <row r="15" spans="1:17" x14ac:dyDescent="0.3">
      <c r="A15">
        <v>14</v>
      </c>
      <c r="B15">
        <v>32</v>
      </c>
      <c r="C15">
        <v>640</v>
      </c>
      <c r="D15">
        <f t="shared" si="0"/>
        <v>393.06138197487678</v>
      </c>
      <c r="E15">
        <f t="shared" si="1"/>
        <v>90.049986118821806</v>
      </c>
      <c r="F15">
        <f t="shared" si="2"/>
        <v>1932.2052485634588</v>
      </c>
      <c r="G15" t="str">
        <f t="shared" si="3"/>
        <v>C2</v>
      </c>
      <c r="H15">
        <f t="shared" si="4"/>
        <v>8109</v>
      </c>
      <c r="J15" s="2"/>
      <c r="K15" s="2"/>
      <c r="L15" s="2"/>
      <c r="M15" s="2"/>
      <c r="N15" s="2"/>
      <c r="O15" s="2"/>
      <c r="P15" s="2"/>
      <c r="Q15" s="2"/>
    </row>
    <row r="16" spans="1:17" x14ac:dyDescent="0.3">
      <c r="A16">
        <v>15</v>
      </c>
      <c r="B16">
        <v>30</v>
      </c>
      <c r="C16">
        <v>610</v>
      </c>
      <c r="D16">
        <f t="shared" si="0"/>
        <v>362.99758952367716</v>
      </c>
      <c r="E16">
        <f t="shared" si="1"/>
        <v>120.10412149464314</v>
      </c>
      <c r="F16">
        <f t="shared" si="2"/>
        <v>1962.2673691011976</v>
      </c>
      <c r="G16" t="str">
        <f t="shared" si="3"/>
        <v>C2</v>
      </c>
      <c r="H16">
        <f t="shared" si="4"/>
        <v>14425</v>
      </c>
      <c r="J16" s="2"/>
      <c r="K16" s="2"/>
      <c r="L16" s="2"/>
      <c r="M16" s="2"/>
      <c r="N16" s="2"/>
      <c r="O16" s="2"/>
      <c r="P16" s="2"/>
      <c r="Q16" s="2"/>
    </row>
    <row r="17" spans="1:17" x14ac:dyDescent="0.3">
      <c r="A17">
        <v>16</v>
      </c>
      <c r="B17">
        <v>33</v>
      </c>
      <c r="C17">
        <v>680</v>
      </c>
      <c r="D17">
        <f t="shared" si="0"/>
        <v>433.0591760949074</v>
      </c>
      <c r="E17">
        <f t="shared" si="1"/>
        <v>50.039984012787215</v>
      </c>
      <c r="F17">
        <f t="shared" si="2"/>
        <v>1892.204705863498</v>
      </c>
      <c r="G17" t="str">
        <f t="shared" si="3"/>
        <v>C2</v>
      </c>
      <c r="H17">
        <f t="shared" si="4"/>
        <v>2504</v>
      </c>
      <c r="J17" s="2"/>
      <c r="K17" s="2"/>
      <c r="L17" s="2"/>
      <c r="M17" s="2"/>
      <c r="N17" s="2"/>
      <c r="O17" s="2"/>
      <c r="P17" s="2"/>
      <c r="Q17" s="2"/>
    </row>
    <row r="18" spans="1:17" x14ac:dyDescent="0.3">
      <c r="A18">
        <v>17</v>
      </c>
      <c r="B18">
        <v>36</v>
      </c>
      <c r="C18">
        <v>750</v>
      </c>
      <c r="D18">
        <f t="shared" si="0"/>
        <v>503.12150619904929</v>
      </c>
      <c r="E18">
        <f t="shared" si="1"/>
        <v>20.024984394500787</v>
      </c>
      <c r="F18">
        <f t="shared" si="2"/>
        <v>1822.1421651299875</v>
      </c>
      <c r="G18" t="str">
        <f t="shared" si="3"/>
        <v>C2</v>
      </c>
      <c r="H18">
        <f t="shared" si="4"/>
        <v>401.00000000000006</v>
      </c>
    </row>
    <row r="19" spans="1:17" x14ac:dyDescent="0.3">
      <c r="A19">
        <v>18</v>
      </c>
      <c r="B19">
        <v>39</v>
      </c>
      <c r="C19">
        <v>820</v>
      </c>
      <c r="D19">
        <f t="shared" si="0"/>
        <v>573.18430718225352</v>
      </c>
      <c r="E19">
        <f t="shared" si="1"/>
        <v>90.088845036441668</v>
      </c>
      <c r="F19">
        <f t="shared" si="2"/>
        <v>1752.0797615968372</v>
      </c>
      <c r="G19" t="str">
        <f t="shared" si="3"/>
        <v>C2</v>
      </c>
      <c r="H19">
        <f t="shared" si="4"/>
        <v>8116.0000000000009</v>
      </c>
    </row>
    <row r="20" spans="1:17" x14ac:dyDescent="0.3">
      <c r="A20">
        <v>19</v>
      </c>
      <c r="B20">
        <v>42</v>
      </c>
      <c r="C20">
        <v>890</v>
      </c>
      <c r="D20">
        <f t="shared" si="0"/>
        <v>643.24742517945617</v>
      </c>
      <c r="E20">
        <f t="shared" si="1"/>
        <v>160.15305179733542</v>
      </c>
      <c r="F20">
        <f t="shared" si="2"/>
        <v>1682.0175124087923</v>
      </c>
      <c r="G20" t="str">
        <f t="shared" si="3"/>
        <v>C2</v>
      </c>
      <c r="H20">
        <f t="shared" si="4"/>
        <v>25649.000000000004</v>
      </c>
    </row>
    <row r="21" spans="1:17" x14ac:dyDescent="0.3">
      <c r="A21">
        <v>20</v>
      </c>
      <c r="B21">
        <v>40</v>
      </c>
      <c r="C21">
        <v>860</v>
      </c>
      <c r="D21">
        <f t="shared" si="0"/>
        <v>613.18614628838441</v>
      </c>
      <c r="E21">
        <f t="shared" si="1"/>
        <v>130.09611831257686</v>
      </c>
      <c r="F21">
        <f t="shared" si="2"/>
        <v>1712.0803185928573</v>
      </c>
      <c r="G21" t="str">
        <f t="shared" si="3"/>
        <v>C2</v>
      </c>
      <c r="H21">
        <f t="shared" si="4"/>
        <v>16924.999999999996</v>
      </c>
    </row>
    <row r="22" spans="1:17" x14ac:dyDescent="0.3">
      <c r="A22">
        <v>21</v>
      </c>
      <c r="B22">
        <v>43</v>
      </c>
      <c r="C22">
        <v>860</v>
      </c>
      <c r="D22">
        <f t="shared" si="0"/>
        <v>613.33534872857274</v>
      </c>
      <c r="E22">
        <f t="shared" si="1"/>
        <v>130.24592124131948</v>
      </c>
      <c r="F22">
        <f t="shared" si="2"/>
        <v>1711.930494299643</v>
      </c>
      <c r="G22" t="str">
        <f t="shared" si="3"/>
        <v>C2</v>
      </c>
      <c r="H22">
        <f t="shared" si="4"/>
        <v>16963.999999999996</v>
      </c>
    </row>
    <row r="23" spans="1:17" x14ac:dyDescent="0.3">
      <c r="A23">
        <v>22</v>
      </c>
      <c r="B23">
        <v>46</v>
      </c>
      <c r="C23">
        <v>930</v>
      </c>
      <c r="D23">
        <f t="shared" si="0"/>
        <v>683.39684664183221</v>
      </c>
      <c r="E23">
        <f t="shared" si="1"/>
        <v>200.30227157973022</v>
      </c>
      <c r="F23">
        <f t="shared" si="2"/>
        <v>1641.8676677386795</v>
      </c>
      <c r="G23" t="str">
        <f t="shared" si="3"/>
        <v>C2</v>
      </c>
      <c r="H23">
        <f t="shared" si="4"/>
        <v>40121</v>
      </c>
    </row>
    <row r="24" spans="1:17" x14ac:dyDescent="0.3">
      <c r="A24">
        <v>23</v>
      </c>
      <c r="B24">
        <v>49</v>
      </c>
      <c r="C24">
        <v>1000</v>
      </c>
      <c r="D24">
        <f t="shared" si="0"/>
        <v>753.45885753636207</v>
      </c>
      <c r="E24">
        <f t="shared" si="1"/>
        <v>270.36271932350434</v>
      </c>
      <c r="F24">
        <f t="shared" si="2"/>
        <v>1571.804968632649</v>
      </c>
      <c r="G24" t="str">
        <f t="shared" si="3"/>
        <v>C2</v>
      </c>
      <c r="H24">
        <f t="shared" si="4"/>
        <v>73095.999999999985</v>
      </c>
    </row>
    <row r="25" spans="1:17" x14ac:dyDescent="0.3">
      <c r="A25">
        <v>24</v>
      </c>
      <c r="B25">
        <v>52</v>
      </c>
      <c r="C25">
        <v>1070</v>
      </c>
      <c r="D25">
        <f t="shared" si="0"/>
        <v>823.52125048477046</v>
      </c>
      <c r="E25">
        <f t="shared" si="1"/>
        <v>340.42473470651333</v>
      </c>
      <c r="F25">
        <f t="shared" si="2"/>
        <v>1501.7424148205025</v>
      </c>
      <c r="G25" t="str">
        <f t="shared" si="3"/>
        <v>C2</v>
      </c>
      <c r="H25">
        <f t="shared" si="4"/>
        <v>115888.99999999999</v>
      </c>
    </row>
    <row r="26" spans="1:17" x14ac:dyDescent="0.3">
      <c r="A26">
        <v>25</v>
      </c>
      <c r="B26">
        <v>50</v>
      </c>
      <c r="C26">
        <v>1040</v>
      </c>
      <c r="D26">
        <f t="shared" si="0"/>
        <v>793.45904116091583</v>
      </c>
      <c r="E26">
        <f t="shared" si="1"/>
        <v>310.3626910567699</v>
      </c>
      <c r="F26">
        <f t="shared" si="2"/>
        <v>1531.8049437621203</v>
      </c>
      <c r="G26" t="str">
        <f t="shared" si="3"/>
        <v>C2</v>
      </c>
      <c r="H26">
        <f t="shared" si="4"/>
        <v>96325</v>
      </c>
    </row>
    <row r="27" spans="1:17" x14ac:dyDescent="0.3">
      <c r="A27">
        <v>26</v>
      </c>
      <c r="B27">
        <v>53</v>
      </c>
      <c r="C27">
        <v>1110</v>
      </c>
      <c r="D27">
        <f t="shared" si="0"/>
        <v>863.52200319389658</v>
      </c>
      <c r="E27">
        <f t="shared" si="1"/>
        <v>380.42607691902509</v>
      </c>
      <c r="F27">
        <f t="shared" si="2"/>
        <v>1461.7427293428566</v>
      </c>
      <c r="G27" t="str">
        <f t="shared" si="3"/>
        <v>C2</v>
      </c>
      <c r="H27">
        <f t="shared" si="4"/>
        <v>144724</v>
      </c>
    </row>
    <row r="28" spans="1:17" x14ac:dyDescent="0.3">
      <c r="A28">
        <v>27</v>
      </c>
      <c r="B28">
        <v>56</v>
      </c>
      <c r="C28">
        <v>1180</v>
      </c>
      <c r="D28">
        <f t="shared" si="0"/>
        <v>933.58515947930539</v>
      </c>
      <c r="E28">
        <f t="shared" si="1"/>
        <v>450.48973351231876</v>
      </c>
      <c r="F28">
        <f t="shared" si="2"/>
        <v>1391.680720510037</v>
      </c>
      <c r="G28" t="str">
        <f t="shared" si="3"/>
        <v>C2</v>
      </c>
      <c r="H28">
        <f t="shared" si="4"/>
        <v>202940.99999999997</v>
      </c>
    </row>
    <row r="29" spans="1:17" x14ac:dyDescent="0.3">
      <c r="A29">
        <v>28</v>
      </c>
      <c r="B29">
        <v>59</v>
      </c>
      <c r="C29">
        <v>1180</v>
      </c>
      <c r="D29">
        <f t="shared" si="0"/>
        <v>933.73457149234866</v>
      </c>
      <c r="E29">
        <f t="shared" si="1"/>
        <v>450.63954553500963</v>
      </c>
      <c r="F29">
        <f t="shared" si="2"/>
        <v>1391.5308935986061</v>
      </c>
      <c r="G29" t="str">
        <f t="shared" si="3"/>
        <v>C2</v>
      </c>
      <c r="H29">
        <f t="shared" si="4"/>
        <v>203076.00000000003</v>
      </c>
    </row>
    <row r="30" spans="1:17" x14ac:dyDescent="0.3">
      <c r="A30">
        <v>29</v>
      </c>
      <c r="B30">
        <v>62</v>
      </c>
      <c r="C30">
        <v>1250</v>
      </c>
      <c r="D30">
        <f t="shared" si="0"/>
        <v>1003.7964186028958</v>
      </c>
      <c r="E30">
        <f t="shared" si="1"/>
        <v>520.70048972513939</v>
      </c>
      <c r="F30">
        <f t="shared" si="2"/>
        <v>1321.4679901124987</v>
      </c>
      <c r="G30" t="str">
        <f t="shared" si="3"/>
        <v>C2</v>
      </c>
      <c r="H30">
        <f t="shared" si="4"/>
        <v>271129</v>
      </c>
    </row>
    <row r="31" spans="1:17" x14ac:dyDescent="0.3">
      <c r="A31">
        <v>30</v>
      </c>
      <c r="B31">
        <v>60</v>
      </c>
      <c r="C31">
        <v>1220</v>
      </c>
      <c r="D31">
        <f t="shared" si="0"/>
        <v>973.73366481805488</v>
      </c>
      <c r="E31">
        <f t="shared" si="1"/>
        <v>490.63734060913055</v>
      </c>
      <c r="F31">
        <f t="shared" si="2"/>
        <v>1351.5301528841762</v>
      </c>
      <c r="G31" t="str">
        <f t="shared" si="3"/>
        <v>C2</v>
      </c>
      <c r="H31">
        <f t="shared" si="4"/>
        <v>240724.99999999997</v>
      </c>
    </row>
    <row r="32" spans="1:17" x14ac:dyDescent="0.3">
      <c r="A32">
        <v>31</v>
      </c>
      <c r="B32">
        <v>63</v>
      </c>
      <c r="C32">
        <v>1290</v>
      </c>
      <c r="D32">
        <f t="shared" si="0"/>
        <v>1043.7960768272699</v>
      </c>
      <c r="E32">
        <f t="shared" si="1"/>
        <v>560.69956304602204</v>
      </c>
      <c r="F32">
        <f t="shared" si="2"/>
        <v>1281.4675864834649</v>
      </c>
      <c r="G32" t="str">
        <f t="shared" si="3"/>
        <v>C2</v>
      </c>
      <c r="H32">
        <f t="shared" si="4"/>
        <v>314384.00000000006</v>
      </c>
    </row>
    <row r="33" spans="1:8" x14ac:dyDescent="0.3">
      <c r="A33">
        <v>32</v>
      </c>
      <c r="B33">
        <v>66</v>
      </c>
      <c r="C33">
        <v>1360</v>
      </c>
      <c r="D33">
        <f t="shared" si="0"/>
        <v>1113.858720843896</v>
      </c>
      <c r="E33">
        <f t="shared" si="1"/>
        <v>630.76223729706589</v>
      </c>
      <c r="F33">
        <f t="shared" si="2"/>
        <v>1211.4052155494412</v>
      </c>
      <c r="G33" t="str">
        <f t="shared" si="3"/>
        <v>C2</v>
      </c>
      <c r="H33">
        <f t="shared" si="4"/>
        <v>397861.00000000006</v>
      </c>
    </row>
    <row r="34" spans="1:8" x14ac:dyDescent="0.3">
      <c r="A34">
        <v>33</v>
      </c>
      <c r="B34">
        <v>69</v>
      </c>
      <c r="C34">
        <v>1430</v>
      </c>
      <c r="D34">
        <f t="shared" si="0"/>
        <v>1183.9215556784156</v>
      </c>
      <c r="E34">
        <f t="shared" si="1"/>
        <v>700.82522785641788</v>
      </c>
      <c r="F34">
        <f t="shared" si="2"/>
        <v>1141.343076078801</v>
      </c>
      <c r="G34" t="str">
        <f t="shared" si="3"/>
        <v>C2</v>
      </c>
      <c r="H34">
        <f t="shared" si="4"/>
        <v>491156.00000000006</v>
      </c>
    </row>
    <row r="35" spans="1:8" x14ac:dyDescent="0.3">
      <c r="A35">
        <v>34</v>
      </c>
      <c r="B35">
        <v>72</v>
      </c>
      <c r="C35">
        <v>1500</v>
      </c>
      <c r="D35">
        <f t="shared" si="0"/>
        <v>1253.9845493466019</v>
      </c>
      <c r="E35">
        <f t="shared" si="1"/>
        <v>770.88844848006386</v>
      </c>
      <c r="F35">
        <f t="shared" si="2"/>
        <v>1071.2812134848866</v>
      </c>
      <c r="G35" t="str">
        <f t="shared" si="3"/>
        <v>C2</v>
      </c>
      <c r="H35">
        <f t="shared" si="4"/>
        <v>594269.00000000012</v>
      </c>
    </row>
    <row r="36" spans="1:8" x14ac:dyDescent="0.3">
      <c r="A36">
        <v>35</v>
      </c>
      <c r="B36">
        <v>70</v>
      </c>
      <c r="C36">
        <v>1400</v>
      </c>
      <c r="D36">
        <f t="shared" si="0"/>
        <v>1154.0092070689905</v>
      </c>
      <c r="E36">
        <f t="shared" si="1"/>
        <v>670.91355627979374</v>
      </c>
      <c r="F36">
        <f t="shared" si="2"/>
        <v>1171.2562155976709</v>
      </c>
      <c r="G36" t="str">
        <f t="shared" si="3"/>
        <v>C2</v>
      </c>
      <c r="H36">
        <f t="shared" si="4"/>
        <v>450124.99999999994</v>
      </c>
    </row>
    <row r="37" spans="1:8" x14ac:dyDescent="0.3">
      <c r="A37">
        <v>36</v>
      </c>
      <c r="B37">
        <v>73</v>
      </c>
      <c r="C37">
        <v>1470</v>
      </c>
      <c r="D37">
        <f t="shared" si="0"/>
        <v>1224.0711784859573</v>
      </c>
      <c r="E37">
        <f t="shared" si="1"/>
        <v>740.97503331758753</v>
      </c>
      <c r="F37">
        <f t="shared" si="2"/>
        <v>1101.1932362799951</v>
      </c>
      <c r="G37" t="str">
        <f t="shared" si="3"/>
        <v>C2</v>
      </c>
      <c r="H37">
        <f t="shared" si="4"/>
        <v>549044</v>
      </c>
    </row>
    <row r="38" spans="1:8" x14ac:dyDescent="0.3">
      <c r="A38">
        <v>37</v>
      </c>
      <c r="B38">
        <v>76</v>
      </c>
      <c r="C38">
        <v>1540</v>
      </c>
      <c r="D38">
        <f t="shared" si="0"/>
        <v>1294.1333972972029</v>
      </c>
      <c r="E38">
        <f t="shared" si="1"/>
        <v>811.03699052509307</v>
      </c>
      <c r="F38">
        <f t="shared" si="2"/>
        <v>1031.13043048949</v>
      </c>
      <c r="G38" t="str">
        <f t="shared" si="3"/>
        <v>C2</v>
      </c>
      <c r="H38">
        <f t="shared" si="4"/>
        <v>657780.99999999988</v>
      </c>
    </row>
    <row r="39" spans="1:8" x14ac:dyDescent="0.3">
      <c r="A39">
        <v>38</v>
      </c>
      <c r="B39">
        <v>79</v>
      </c>
      <c r="C39">
        <v>1610</v>
      </c>
      <c r="D39">
        <f t="shared" si="0"/>
        <v>1364.1958253857838</v>
      </c>
      <c r="E39">
        <f t="shared" si="1"/>
        <v>881.09931335803458</v>
      </c>
      <c r="F39">
        <f t="shared" si="2"/>
        <v>961.06783617706833</v>
      </c>
      <c r="G39" t="str">
        <f t="shared" si="3"/>
        <v>C2</v>
      </c>
      <c r="H39">
        <f t="shared" si="4"/>
        <v>776336</v>
      </c>
    </row>
    <row r="40" spans="1:8" x14ac:dyDescent="0.3">
      <c r="A40">
        <v>39</v>
      </c>
      <c r="B40">
        <v>82</v>
      </c>
      <c r="C40">
        <v>1680</v>
      </c>
      <c r="D40">
        <f t="shared" si="0"/>
        <v>1434.2584320825868</v>
      </c>
      <c r="E40">
        <f t="shared" si="1"/>
        <v>951.16192102081129</v>
      </c>
      <c r="F40">
        <f t="shared" si="2"/>
        <v>891.00550323031325</v>
      </c>
      <c r="G40" t="str">
        <f t="shared" si="3"/>
        <v>C3</v>
      </c>
      <c r="H40">
        <f t="shared" si="4"/>
        <v>793890.80678670376</v>
      </c>
    </row>
    <row r="41" spans="1:8" x14ac:dyDescent="0.3">
      <c r="A41">
        <v>40</v>
      </c>
      <c r="B41">
        <v>80</v>
      </c>
      <c r="C41">
        <v>1650</v>
      </c>
      <c r="D41">
        <f t="shared" si="0"/>
        <v>1404.196300379687</v>
      </c>
      <c r="E41">
        <f t="shared" si="1"/>
        <v>921.09988600585552</v>
      </c>
      <c r="F41">
        <f t="shared" si="2"/>
        <v>921.0683536252136</v>
      </c>
      <c r="G41" t="str">
        <f t="shared" si="3"/>
        <v>C3</v>
      </c>
      <c r="H41">
        <f t="shared" si="4"/>
        <v>848366.91204986151</v>
      </c>
    </row>
    <row r="42" spans="1:8" x14ac:dyDescent="0.3">
      <c r="A42">
        <v>41</v>
      </c>
      <c r="B42">
        <v>83</v>
      </c>
      <c r="C42">
        <v>1720</v>
      </c>
      <c r="D42">
        <f t="shared" si="0"/>
        <v>1474.2592207613966</v>
      </c>
      <c r="E42">
        <f t="shared" si="1"/>
        <v>991.16295330283606</v>
      </c>
      <c r="F42">
        <f t="shared" si="2"/>
        <v>851.00665867106659</v>
      </c>
      <c r="G42" t="str">
        <f t="shared" si="3"/>
        <v>C3</v>
      </c>
      <c r="H42">
        <f t="shared" si="4"/>
        <v>724212.3331024932</v>
      </c>
    </row>
    <row r="43" spans="1:8" x14ac:dyDescent="0.3">
      <c r="A43">
        <v>42</v>
      </c>
      <c r="B43">
        <v>86</v>
      </c>
      <c r="C43">
        <v>1720</v>
      </c>
      <c r="D43">
        <f t="shared" si="0"/>
        <v>1474.4087798165067</v>
      </c>
      <c r="E43">
        <f t="shared" si="1"/>
        <v>991.31276598256318</v>
      </c>
      <c r="F43">
        <f t="shared" si="2"/>
        <v>850.85682291587295</v>
      </c>
      <c r="G43" t="str">
        <f t="shared" si="3"/>
        <v>C3</v>
      </c>
      <c r="H43">
        <f t="shared" si="4"/>
        <v>723957.3331024932</v>
      </c>
    </row>
    <row r="44" spans="1:8" x14ac:dyDescent="0.3">
      <c r="A44">
        <v>43</v>
      </c>
      <c r="B44">
        <v>89</v>
      </c>
      <c r="C44">
        <v>1790</v>
      </c>
      <c r="D44">
        <f t="shared" si="0"/>
        <v>1544.4708640825829</v>
      </c>
      <c r="E44">
        <f t="shared" si="1"/>
        <v>1061.374580438028</v>
      </c>
      <c r="F44">
        <f t="shared" si="2"/>
        <v>780.79366938719784</v>
      </c>
      <c r="G44" t="str">
        <f t="shared" si="3"/>
        <v>C3</v>
      </c>
      <c r="H44">
        <f t="shared" si="4"/>
        <v>609638.75415512477</v>
      </c>
    </row>
    <row r="45" spans="1:8" x14ac:dyDescent="0.3">
      <c r="A45">
        <v>44</v>
      </c>
      <c r="B45">
        <v>92</v>
      </c>
      <c r="C45">
        <v>1860</v>
      </c>
      <c r="D45">
        <f t="shared" si="0"/>
        <v>1614.5331368541185</v>
      </c>
      <c r="E45">
        <f t="shared" si="1"/>
        <v>1131.4366973012675</v>
      </c>
      <c r="F45">
        <f t="shared" si="2"/>
        <v>710.73073326524752</v>
      </c>
      <c r="G45" t="str">
        <f t="shared" si="3"/>
        <v>C3</v>
      </c>
      <c r="H45">
        <f t="shared" si="4"/>
        <v>505138.1752077564</v>
      </c>
    </row>
    <row r="46" spans="1:8" x14ac:dyDescent="0.3">
      <c r="A46">
        <v>45</v>
      </c>
      <c r="B46">
        <v>90</v>
      </c>
      <c r="C46">
        <v>1830</v>
      </c>
      <c r="D46">
        <f t="shared" si="0"/>
        <v>1584.4706529311295</v>
      </c>
      <c r="E46">
        <f t="shared" si="1"/>
        <v>1101.3741416975431</v>
      </c>
      <c r="F46">
        <f t="shared" si="2"/>
        <v>740.79300784423867</v>
      </c>
      <c r="G46" t="str">
        <f t="shared" si="3"/>
        <v>C3</v>
      </c>
      <c r="H46">
        <f t="shared" si="4"/>
        <v>548774.28047091421</v>
      </c>
    </row>
    <row r="47" spans="1:8" x14ac:dyDescent="0.3">
      <c r="A47">
        <v>46</v>
      </c>
      <c r="B47">
        <v>93</v>
      </c>
      <c r="C47">
        <v>1900</v>
      </c>
      <c r="D47">
        <f t="shared" si="0"/>
        <v>1654.5332423375482</v>
      </c>
      <c r="E47">
        <f t="shared" si="1"/>
        <v>1171.4367247103021</v>
      </c>
      <c r="F47">
        <f t="shared" si="2"/>
        <v>670.73072206627444</v>
      </c>
      <c r="G47" t="str">
        <f t="shared" si="3"/>
        <v>C3</v>
      </c>
      <c r="H47">
        <f t="shared" si="4"/>
        <v>449879.7015235459</v>
      </c>
    </row>
    <row r="48" spans="1:8" x14ac:dyDescent="0.3">
      <c r="A48">
        <v>47</v>
      </c>
      <c r="B48">
        <v>96</v>
      </c>
      <c r="C48">
        <v>1970</v>
      </c>
      <c r="D48">
        <f t="shared" si="0"/>
        <v>1724.5959671760804</v>
      </c>
      <c r="E48">
        <f t="shared" si="1"/>
        <v>1241.4994965766195</v>
      </c>
      <c r="F48">
        <f t="shared" si="2"/>
        <v>600.6688959619745</v>
      </c>
      <c r="G48" t="str">
        <f t="shared" si="3"/>
        <v>C3</v>
      </c>
      <c r="H48">
        <f t="shared" si="4"/>
        <v>360803.12257617735</v>
      </c>
    </row>
    <row r="49" spans="1:8" x14ac:dyDescent="0.3">
      <c r="A49">
        <v>48</v>
      </c>
      <c r="B49">
        <v>99</v>
      </c>
      <c r="C49">
        <v>2040</v>
      </c>
      <c r="D49">
        <f t="shared" si="0"/>
        <v>1794.658811585088</v>
      </c>
      <c r="E49">
        <f t="shared" si="1"/>
        <v>1311.5624270312107</v>
      </c>
      <c r="F49">
        <f t="shared" si="2"/>
        <v>530.60771161829996</v>
      </c>
      <c r="G49" t="str">
        <f t="shared" si="3"/>
        <v>C3</v>
      </c>
      <c r="H49">
        <f t="shared" si="4"/>
        <v>281544.54362880898</v>
      </c>
    </row>
    <row r="50" spans="1:8" x14ac:dyDescent="0.3">
      <c r="A50">
        <v>49</v>
      </c>
      <c r="B50">
        <v>102</v>
      </c>
      <c r="C50">
        <v>2040</v>
      </c>
      <c r="D50">
        <f t="shared" si="0"/>
        <v>1794.8084159597647</v>
      </c>
      <c r="E50">
        <f t="shared" si="1"/>
        <v>1311.7122397843209</v>
      </c>
      <c r="F50">
        <f t="shared" si="2"/>
        <v>530.45786225562631</v>
      </c>
      <c r="G50" t="str">
        <f t="shared" si="3"/>
        <v>C3</v>
      </c>
      <c r="H50">
        <f t="shared" si="4"/>
        <v>281385.54362880904</v>
      </c>
    </row>
    <row r="51" spans="1:8" x14ac:dyDescent="0.3">
      <c r="A51">
        <v>50</v>
      </c>
      <c r="B51">
        <v>100</v>
      </c>
      <c r="C51">
        <v>2010</v>
      </c>
      <c r="D51">
        <f t="shared" si="0"/>
        <v>1764.7456615614615</v>
      </c>
      <c r="E51">
        <f t="shared" si="1"/>
        <v>1281.6493280144925</v>
      </c>
      <c r="F51">
        <f t="shared" si="2"/>
        <v>560.51908878464326</v>
      </c>
      <c r="G51" t="str">
        <f t="shared" si="3"/>
        <v>C3</v>
      </c>
      <c r="H51">
        <f t="shared" si="4"/>
        <v>314181.64889196679</v>
      </c>
    </row>
    <row r="52" spans="1:8" x14ac:dyDescent="0.3">
      <c r="A52">
        <v>51</v>
      </c>
      <c r="B52">
        <v>103</v>
      </c>
      <c r="C52">
        <v>2080</v>
      </c>
      <c r="D52">
        <f t="shared" si="0"/>
        <v>1834.8079599783732</v>
      </c>
      <c r="E52">
        <f t="shared" si="1"/>
        <v>1351.7115076820201</v>
      </c>
      <c r="F52">
        <f t="shared" si="2"/>
        <v>490.45598165849543</v>
      </c>
      <c r="G52" t="str">
        <f t="shared" si="3"/>
        <v>C3</v>
      </c>
      <c r="H52">
        <f t="shared" si="4"/>
        <v>240547.06994459842</v>
      </c>
    </row>
    <row r="53" spans="1:8" x14ac:dyDescent="0.3">
      <c r="A53">
        <v>52</v>
      </c>
      <c r="B53">
        <v>106</v>
      </c>
      <c r="C53">
        <v>2150</v>
      </c>
      <c r="D53">
        <f t="shared" si="0"/>
        <v>1904.8704024158703</v>
      </c>
      <c r="E53">
        <f t="shared" si="1"/>
        <v>1421.7738920095558</v>
      </c>
      <c r="F53">
        <f t="shared" si="2"/>
        <v>420.39325755443554</v>
      </c>
      <c r="G53" t="str">
        <f t="shared" si="3"/>
        <v>C3</v>
      </c>
      <c r="H53">
        <f t="shared" si="4"/>
        <v>176730.49099722996</v>
      </c>
    </row>
    <row r="54" spans="1:8" x14ac:dyDescent="0.3">
      <c r="A54">
        <v>53</v>
      </c>
      <c r="B54">
        <v>109</v>
      </c>
      <c r="C54">
        <v>2220</v>
      </c>
      <c r="D54">
        <f t="shared" si="0"/>
        <v>1974.9329735461911</v>
      </c>
      <c r="E54">
        <f t="shared" si="1"/>
        <v>1491.8364521622334</v>
      </c>
      <c r="F54">
        <f t="shared" si="2"/>
        <v>350.33114627429512</v>
      </c>
      <c r="G54" t="str">
        <f t="shared" si="3"/>
        <v>C3</v>
      </c>
      <c r="H54">
        <f t="shared" si="4"/>
        <v>122731.91204986157</v>
      </c>
    </row>
    <row r="55" spans="1:8" x14ac:dyDescent="0.3">
      <c r="A55">
        <v>54</v>
      </c>
      <c r="B55">
        <v>112</v>
      </c>
      <c r="C55">
        <v>2290</v>
      </c>
      <c r="D55">
        <f t="shared" si="0"/>
        <v>2044.9956601420943</v>
      </c>
      <c r="E55">
        <f t="shared" si="1"/>
        <v>1561.8991644789364</v>
      </c>
      <c r="F55">
        <f t="shared" si="2"/>
        <v>280.27010740086627</v>
      </c>
      <c r="G55" t="str">
        <f t="shared" si="3"/>
        <v>C3</v>
      </c>
      <c r="H55">
        <f t="shared" si="4"/>
        <v>78551.33310249311</v>
      </c>
    </row>
    <row r="56" spans="1:8" x14ac:dyDescent="0.3">
      <c r="A56">
        <v>55</v>
      </c>
      <c r="B56">
        <v>110</v>
      </c>
      <c r="C56">
        <v>2260</v>
      </c>
      <c r="D56">
        <f t="shared" si="0"/>
        <v>2014.9335596986814</v>
      </c>
      <c r="E56">
        <f t="shared" si="1"/>
        <v>1531.8371323348968</v>
      </c>
      <c r="F56">
        <f t="shared" si="2"/>
        <v>310.33439765138996</v>
      </c>
      <c r="G56" t="str">
        <f t="shared" si="3"/>
        <v>C3</v>
      </c>
      <c r="H56">
        <f t="shared" si="4"/>
        <v>96307.438365651033</v>
      </c>
    </row>
    <row r="57" spans="1:8" x14ac:dyDescent="0.3">
      <c r="A57">
        <v>56</v>
      </c>
      <c r="B57">
        <v>113</v>
      </c>
      <c r="C57">
        <v>2260</v>
      </c>
      <c r="D57">
        <f t="shared" si="0"/>
        <v>2015.0831868684727</v>
      </c>
      <c r="E57">
        <f t="shared" si="1"/>
        <v>1531.9869451140894</v>
      </c>
      <c r="F57">
        <f t="shared" si="2"/>
        <v>310.18452309174137</v>
      </c>
      <c r="G57" t="str">
        <f t="shared" si="3"/>
        <v>C3</v>
      </c>
      <c r="H57">
        <f t="shared" si="4"/>
        <v>96214.438365651033</v>
      </c>
    </row>
    <row r="58" spans="1:8" x14ac:dyDescent="0.3">
      <c r="A58">
        <v>57</v>
      </c>
      <c r="B58">
        <v>116</v>
      </c>
      <c r="C58">
        <v>2330</v>
      </c>
      <c r="D58">
        <f t="shared" si="0"/>
        <v>2085.1453786247134</v>
      </c>
      <c r="E58">
        <f t="shared" si="1"/>
        <v>1602.0490004990484</v>
      </c>
      <c r="F58">
        <f t="shared" si="2"/>
        <v>240.12051019911354</v>
      </c>
      <c r="G58" t="str">
        <f t="shared" si="3"/>
        <v>C3</v>
      </c>
      <c r="H58">
        <f t="shared" si="4"/>
        <v>57657.859418282591</v>
      </c>
    </row>
    <row r="59" spans="1:8" x14ac:dyDescent="0.3">
      <c r="A59">
        <v>58</v>
      </c>
      <c r="B59">
        <v>119</v>
      </c>
      <c r="C59">
        <v>2400</v>
      </c>
      <c r="D59">
        <f t="shared" si="0"/>
        <v>2155.2077046076092</v>
      </c>
      <c r="E59">
        <f t="shared" si="1"/>
        <v>1672.1112403186578</v>
      </c>
      <c r="F59">
        <f t="shared" si="2"/>
        <v>170.05669781256532</v>
      </c>
      <c r="G59" t="str">
        <f t="shared" si="3"/>
        <v>C3</v>
      </c>
      <c r="H59">
        <f t="shared" si="4"/>
        <v>28919.280470914156</v>
      </c>
    </row>
    <row r="60" spans="1:8" x14ac:dyDescent="0.3">
      <c r="A60">
        <v>59</v>
      </c>
      <c r="B60">
        <v>122</v>
      </c>
      <c r="C60">
        <v>2470</v>
      </c>
      <c r="D60">
        <f t="shared" si="0"/>
        <v>2225.2701521388362</v>
      </c>
      <c r="E60">
        <f t="shared" si="1"/>
        <v>1742.1736423215684</v>
      </c>
      <c r="F60">
        <f t="shared" si="2"/>
        <v>99.993507406959807</v>
      </c>
      <c r="G60" t="str">
        <f t="shared" si="3"/>
        <v>C3</v>
      </c>
      <c r="H60">
        <f t="shared" si="4"/>
        <v>9998.7015235457256</v>
      </c>
    </row>
    <row r="61" spans="1:8" x14ac:dyDescent="0.3">
      <c r="A61">
        <v>60</v>
      </c>
      <c r="B61">
        <v>120</v>
      </c>
      <c r="C61">
        <v>2440</v>
      </c>
      <c r="D61">
        <f t="shared" si="0"/>
        <v>2195.2077919868998</v>
      </c>
      <c r="E61">
        <f t="shared" si="1"/>
        <v>1712.1112697485523</v>
      </c>
      <c r="F61">
        <f t="shared" si="2"/>
        <v>130.05693671120977</v>
      </c>
      <c r="G61" t="str">
        <f t="shared" si="3"/>
        <v>C3</v>
      </c>
      <c r="H61">
        <f t="shared" si="4"/>
        <v>16914.806786703622</v>
      </c>
    </row>
    <row r="62" spans="1:8" x14ac:dyDescent="0.3">
      <c r="A62">
        <v>61</v>
      </c>
      <c r="B62">
        <v>123</v>
      </c>
      <c r="C62">
        <v>2510</v>
      </c>
      <c r="D62">
        <f t="shared" si="0"/>
        <v>2265.2704584662733</v>
      </c>
      <c r="E62">
        <f t="shared" si="1"/>
        <v>1782.1739533502334</v>
      </c>
      <c r="F62">
        <f t="shared" si="2"/>
        <v>60.001898631086597</v>
      </c>
      <c r="G62" t="str">
        <f t="shared" si="3"/>
        <v>C3</v>
      </c>
      <c r="H62">
        <f t="shared" si="4"/>
        <v>3600.2278393351917</v>
      </c>
    </row>
    <row r="63" spans="1:8" x14ac:dyDescent="0.3">
      <c r="A63">
        <v>62</v>
      </c>
      <c r="B63">
        <v>126</v>
      </c>
      <c r="C63">
        <v>2580</v>
      </c>
      <c r="D63">
        <f t="shared" si="0"/>
        <v>2335.3332203349482</v>
      </c>
      <c r="E63">
        <f t="shared" si="1"/>
        <v>1852.2367559251165</v>
      </c>
      <c r="F63">
        <f t="shared" si="2"/>
        <v>10.180809985789788</v>
      </c>
      <c r="G63" t="str">
        <f t="shared" si="3"/>
        <v>C3</v>
      </c>
      <c r="H63">
        <f t="shared" si="4"/>
        <v>103.64889196675705</v>
      </c>
    </row>
    <row r="64" spans="1:8" x14ac:dyDescent="0.3">
      <c r="A64">
        <v>63</v>
      </c>
      <c r="B64">
        <v>129</v>
      </c>
      <c r="C64">
        <v>2580</v>
      </c>
      <c r="D64">
        <f t="shared" si="0"/>
        <v>2335.4828729836577</v>
      </c>
      <c r="E64">
        <f t="shared" si="1"/>
        <v>1852.386568726949</v>
      </c>
      <c r="F64">
        <f t="shared" si="2"/>
        <v>10.327095040075745</v>
      </c>
      <c r="G64" t="str">
        <f t="shared" si="3"/>
        <v>C3</v>
      </c>
      <c r="H64">
        <f t="shared" si="4"/>
        <v>106.64889196675706</v>
      </c>
    </row>
    <row r="65" spans="1:8" x14ac:dyDescent="0.3">
      <c r="A65">
        <v>64</v>
      </c>
      <c r="B65">
        <v>132</v>
      </c>
      <c r="C65">
        <v>2650</v>
      </c>
      <c r="D65">
        <f t="shared" si="0"/>
        <v>2405.5451045449136</v>
      </c>
      <c r="E65">
        <f t="shared" si="1"/>
        <v>1922.4486989254096</v>
      </c>
      <c r="F65">
        <f t="shared" si="2"/>
        <v>80.287420836631213</v>
      </c>
      <c r="G65" t="str">
        <f t="shared" si="3"/>
        <v>C3</v>
      </c>
      <c r="H65">
        <f t="shared" si="4"/>
        <v>6446.0699445983237</v>
      </c>
    </row>
    <row r="66" spans="1:8" x14ac:dyDescent="0.3">
      <c r="A66">
        <v>65</v>
      </c>
      <c r="B66">
        <v>130</v>
      </c>
      <c r="C66">
        <v>2620</v>
      </c>
      <c r="D66">
        <f t="shared" si="0"/>
        <v>2375.4825299294457</v>
      </c>
      <c r="E66">
        <f t="shared" si="1"/>
        <v>1892.3860599782488</v>
      </c>
      <c r="F66">
        <f t="shared" si="2"/>
        <v>50.221262506593987</v>
      </c>
      <c r="G66" t="str">
        <f t="shared" si="3"/>
        <v>C3</v>
      </c>
      <c r="H66">
        <f t="shared" si="4"/>
        <v>2522.1752077562228</v>
      </c>
    </row>
    <row r="67" spans="1:8" x14ac:dyDescent="0.3">
      <c r="A67">
        <v>66</v>
      </c>
      <c r="B67">
        <v>133</v>
      </c>
      <c r="C67">
        <v>2690</v>
      </c>
      <c r="D67">
        <f t="shared" ref="D67:D101" si="5">SQRT((B67-$K$2)^2+(C67-$L$2)^2)</f>
        <v>2445.5449801629084</v>
      </c>
      <c r="E67">
        <f t="shared" ref="E67:E101" si="6">SQRT((B67-$K$3)^2+(C67-$L$3)^2)</f>
        <v>1962.448470661077</v>
      </c>
      <c r="F67">
        <f t="shared" ref="F67:F101" si="7">SQRT((B67-$K$4)^2+(C67-$L$4)^2)</f>
        <v>120.28132132790938</v>
      </c>
      <c r="G67" t="str">
        <f t="shared" ref="G67:G101" si="8">IF(D67=MIN(D67:F67),"C1",IF(E67=MIN(D67:F67),"C2","C3"))</f>
        <v>C3</v>
      </c>
      <c r="H67">
        <f t="shared" ref="H67:H101" si="9">MIN(D67:F67)^2</f>
        <v>14467.596260387789</v>
      </c>
    </row>
    <row r="68" spans="1:8" x14ac:dyDescent="0.3">
      <c r="A68">
        <v>67</v>
      </c>
      <c r="B68">
        <v>136</v>
      </c>
      <c r="C68">
        <v>2760</v>
      </c>
      <c r="D68">
        <f t="shared" si="5"/>
        <v>2515.6075309952466</v>
      </c>
      <c r="E68">
        <f t="shared" si="6"/>
        <v>2032.5110085802733</v>
      </c>
      <c r="F68">
        <f t="shared" si="7"/>
        <v>190.34447014037301</v>
      </c>
      <c r="G68" t="str">
        <f t="shared" si="8"/>
        <v>C3</v>
      </c>
      <c r="H68">
        <f t="shared" si="9"/>
        <v>36231.017313019351</v>
      </c>
    </row>
    <row r="69" spans="1:8" x14ac:dyDescent="0.3">
      <c r="A69">
        <v>68</v>
      </c>
      <c r="B69">
        <v>139</v>
      </c>
      <c r="C69">
        <v>2830</v>
      </c>
      <c r="D69">
        <f t="shared" si="5"/>
        <v>2585.6701742488349</v>
      </c>
      <c r="E69">
        <f t="shared" si="6"/>
        <v>2102.5736610164222</v>
      </c>
      <c r="F69">
        <f t="shared" si="7"/>
        <v>260.40821485823159</v>
      </c>
      <c r="G69" t="str">
        <f t="shared" si="8"/>
        <v>C3</v>
      </c>
      <c r="H69">
        <f t="shared" si="9"/>
        <v>67812.438365650902</v>
      </c>
    </row>
    <row r="70" spans="1:8" x14ac:dyDescent="0.3">
      <c r="A70">
        <v>69</v>
      </c>
      <c r="B70">
        <v>142</v>
      </c>
      <c r="C70">
        <v>2900</v>
      </c>
      <c r="D70">
        <f t="shared" si="5"/>
        <v>2655.7329026089956</v>
      </c>
      <c r="E70">
        <f t="shared" si="6"/>
        <v>2172.6364168907785</v>
      </c>
      <c r="F70">
        <f t="shared" si="7"/>
        <v>330.47217646616258</v>
      </c>
      <c r="G70" t="str">
        <f t="shared" si="8"/>
        <v>C3</v>
      </c>
      <c r="H70">
        <f t="shared" si="9"/>
        <v>109211.8594182825</v>
      </c>
    </row>
    <row r="71" spans="1:8" x14ac:dyDescent="0.3">
      <c r="A71">
        <v>70</v>
      </c>
      <c r="B71">
        <v>140</v>
      </c>
      <c r="C71">
        <v>2800</v>
      </c>
      <c r="D71">
        <f t="shared" si="5"/>
        <v>2555.7576665247429</v>
      </c>
      <c r="E71">
        <f t="shared" si="6"/>
        <v>2072.6613326831762</v>
      </c>
      <c r="F71">
        <f t="shared" si="7"/>
        <v>230.4984677363579</v>
      </c>
      <c r="G71" t="str">
        <f t="shared" si="8"/>
        <v>C3</v>
      </c>
      <c r="H71">
        <f t="shared" si="9"/>
        <v>53129.543628808824</v>
      </c>
    </row>
    <row r="72" spans="1:8" x14ac:dyDescent="0.3">
      <c r="A72">
        <v>71</v>
      </c>
      <c r="B72">
        <v>143</v>
      </c>
      <c r="C72">
        <v>2870</v>
      </c>
      <c r="D72">
        <f t="shared" si="5"/>
        <v>2625.8199195679813</v>
      </c>
      <c r="E72">
        <f t="shared" si="6"/>
        <v>2142.7235005945122</v>
      </c>
      <c r="F72">
        <f t="shared" si="7"/>
        <v>300.55775598283998</v>
      </c>
      <c r="G72" t="str">
        <f t="shared" si="8"/>
        <v>C3</v>
      </c>
      <c r="H72">
        <f t="shared" si="9"/>
        <v>90334.964681440382</v>
      </c>
    </row>
    <row r="73" spans="1:8" x14ac:dyDescent="0.3">
      <c r="A73">
        <v>72</v>
      </c>
      <c r="B73">
        <v>146</v>
      </c>
      <c r="C73">
        <v>2940</v>
      </c>
      <c r="D73">
        <f t="shared" si="5"/>
        <v>2695.8822767324245</v>
      </c>
      <c r="E73">
        <f t="shared" si="6"/>
        <v>2212.7858007498148</v>
      </c>
      <c r="F73">
        <f t="shared" si="7"/>
        <v>370.61892252564758</v>
      </c>
      <c r="G73" t="str">
        <f t="shared" si="8"/>
        <v>C3</v>
      </c>
      <c r="H73">
        <f t="shared" si="9"/>
        <v>137358.38573407196</v>
      </c>
    </row>
    <row r="74" spans="1:8" x14ac:dyDescent="0.3">
      <c r="A74">
        <v>73</v>
      </c>
      <c r="B74">
        <v>149</v>
      </c>
      <c r="C74">
        <v>3010</v>
      </c>
      <c r="D74">
        <f t="shared" si="5"/>
        <v>2765.9447301057917</v>
      </c>
      <c r="E74">
        <f t="shared" si="6"/>
        <v>2282.8482209730896</v>
      </c>
      <c r="F74">
        <f t="shared" si="7"/>
        <v>440.68107150943473</v>
      </c>
      <c r="G74" t="str">
        <f t="shared" si="8"/>
        <v>C3</v>
      </c>
      <c r="H74">
        <f t="shared" si="9"/>
        <v>194199.80678670353</v>
      </c>
    </row>
    <row r="75" spans="1:8" x14ac:dyDescent="0.3">
      <c r="A75">
        <v>74</v>
      </c>
      <c r="B75">
        <v>152</v>
      </c>
      <c r="C75">
        <v>3080</v>
      </c>
      <c r="D75">
        <f t="shared" si="5"/>
        <v>2836.0072725576711</v>
      </c>
      <c r="E75">
        <f t="shared" si="6"/>
        <v>2352.910750538575</v>
      </c>
      <c r="F75">
        <f t="shared" si="7"/>
        <v>510.74379863032607</v>
      </c>
      <c r="G75" t="str">
        <f t="shared" si="8"/>
        <v>C3</v>
      </c>
      <c r="H75">
        <f t="shared" si="9"/>
        <v>260859.22783933507</v>
      </c>
    </row>
    <row r="76" spans="1:8" x14ac:dyDescent="0.3">
      <c r="A76">
        <v>75</v>
      </c>
      <c r="B76">
        <v>150</v>
      </c>
      <c r="C76">
        <v>3050</v>
      </c>
      <c r="D76">
        <f t="shared" si="5"/>
        <v>2805.9449834235879</v>
      </c>
      <c r="E76">
        <f t="shared" si="6"/>
        <v>2322.8484668613232</v>
      </c>
      <c r="F76">
        <f t="shared" si="7"/>
        <v>480.68215392553634</v>
      </c>
      <c r="G76" t="str">
        <f t="shared" si="8"/>
        <v>C3</v>
      </c>
      <c r="H76">
        <f t="shared" si="9"/>
        <v>231055.33310249302</v>
      </c>
    </row>
    <row r="77" spans="1:8" x14ac:dyDescent="0.3">
      <c r="A77">
        <v>76</v>
      </c>
      <c r="B77">
        <v>153</v>
      </c>
      <c r="C77">
        <v>3120</v>
      </c>
      <c r="D77">
        <f t="shared" si="5"/>
        <v>2876.0076929660672</v>
      </c>
      <c r="E77">
        <f t="shared" si="6"/>
        <v>2392.9111976836916</v>
      </c>
      <c r="F77">
        <f t="shared" si="7"/>
        <v>550.745634712727</v>
      </c>
      <c r="G77" t="str">
        <f t="shared" si="8"/>
        <v>C3</v>
      </c>
      <c r="H77">
        <f t="shared" si="9"/>
        <v>303320.75415512454</v>
      </c>
    </row>
    <row r="78" spans="1:8" x14ac:dyDescent="0.3">
      <c r="A78">
        <v>77</v>
      </c>
      <c r="B78">
        <v>156</v>
      </c>
      <c r="C78">
        <v>3120</v>
      </c>
      <c r="D78">
        <f t="shared" si="5"/>
        <v>2876.1573757358965</v>
      </c>
      <c r="E78">
        <f t="shared" si="6"/>
        <v>2393.0610105051646</v>
      </c>
      <c r="F78">
        <f t="shared" si="7"/>
        <v>550.89541126707934</v>
      </c>
      <c r="G78" t="str">
        <f t="shared" si="8"/>
        <v>C3</v>
      </c>
      <c r="H78">
        <f t="shared" si="9"/>
        <v>303485.75415512448</v>
      </c>
    </row>
    <row r="79" spans="1:8" x14ac:dyDescent="0.3">
      <c r="A79">
        <v>78</v>
      </c>
      <c r="B79">
        <v>159</v>
      </c>
      <c r="C79">
        <v>3190</v>
      </c>
      <c r="D79">
        <f t="shared" si="5"/>
        <v>2946.2196540651885</v>
      </c>
      <c r="E79">
        <f t="shared" si="6"/>
        <v>2463.123220628639</v>
      </c>
      <c r="F79">
        <f t="shared" si="7"/>
        <v>620.95666129590404</v>
      </c>
      <c r="G79" t="str">
        <f t="shared" si="8"/>
        <v>C3</v>
      </c>
      <c r="H79">
        <f t="shared" si="9"/>
        <v>385587.17520775611</v>
      </c>
    </row>
    <row r="80" spans="1:8" x14ac:dyDescent="0.3">
      <c r="A80">
        <v>79</v>
      </c>
      <c r="B80">
        <v>162</v>
      </c>
      <c r="C80">
        <v>3260</v>
      </c>
      <c r="D80">
        <f t="shared" si="5"/>
        <v>3016.2820242808862</v>
      </c>
      <c r="E80">
        <f t="shared" si="6"/>
        <v>2533.185543934751</v>
      </c>
      <c r="F80">
        <f t="shared" si="7"/>
        <v>691.01852092428589</v>
      </c>
      <c r="G80" t="str">
        <f t="shared" si="8"/>
        <v>C3</v>
      </c>
      <c r="H80">
        <f t="shared" si="9"/>
        <v>477506.59626038774</v>
      </c>
    </row>
    <row r="81" spans="1:8" x14ac:dyDescent="0.3">
      <c r="A81">
        <v>80</v>
      </c>
      <c r="B81">
        <v>160</v>
      </c>
      <c r="C81">
        <v>3230</v>
      </c>
      <c r="D81">
        <f t="shared" si="5"/>
        <v>2986.2195582374716</v>
      </c>
      <c r="E81">
        <f t="shared" si="6"/>
        <v>2503.1230493125981</v>
      </c>
      <c r="F81">
        <f t="shared" si="7"/>
        <v>660.95589983261789</v>
      </c>
      <c r="G81" t="str">
        <f t="shared" si="8"/>
        <v>C3</v>
      </c>
      <c r="H81">
        <f t="shared" si="9"/>
        <v>436862.70152354561</v>
      </c>
    </row>
    <row r="82" spans="1:8" x14ac:dyDescent="0.3">
      <c r="A82">
        <v>81</v>
      </c>
      <c r="B82">
        <v>163</v>
      </c>
      <c r="C82">
        <v>3300</v>
      </c>
      <c r="D82">
        <f t="shared" si="5"/>
        <v>3056.2820959459877</v>
      </c>
      <c r="E82">
        <f t="shared" si="6"/>
        <v>2573.1855743416563</v>
      </c>
      <c r="F82">
        <f t="shared" si="7"/>
        <v>731.0185514582904</v>
      </c>
      <c r="G82" t="str">
        <f t="shared" si="8"/>
        <v>C3</v>
      </c>
      <c r="H82">
        <f t="shared" si="9"/>
        <v>534388.12257617712</v>
      </c>
    </row>
    <row r="83" spans="1:8" x14ac:dyDescent="0.3">
      <c r="A83">
        <v>82</v>
      </c>
      <c r="B83">
        <v>166</v>
      </c>
      <c r="C83">
        <v>3370</v>
      </c>
      <c r="D83">
        <f t="shared" si="5"/>
        <v>3126.3447106805097</v>
      </c>
      <c r="E83">
        <f t="shared" si="6"/>
        <v>2643.248191146643</v>
      </c>
      <c r="F83">
        <f t="shared" si="7"/>
        <v>801.0814837635487</v>
      </c>
      <c r="G83" t="str">
        <f t="shared" si="8"/>
        <v>C3</v>
      </c>
      <c r="H83">
        <f t="shared" si="9"/>
        <v>641731.54362880869</v>
      </c>
    </row>
    <row r="84" spans="1:8" x14ac:dyDescent="0.3">
      <c r="A84">
        <v>83</v>
      </c>
      <c r="B84">
        <v>169</v>
      </c>
      <c r="C84">
        <v>3440</v>
      </c>
      <c r="D84">
        <f t="shared" si="5"/>
        <v>3196.4073973759978</v>
      </c>
      <c r="E84">
        <f t="shared" si="6"/>
        <v>2713.3108926180944</v>
      </c>
      <c r="F84">
        <f t="shared" si="7"/>
        <v>871.14462902634045</v>
      </c>
      <c r="G84" t="str">
        <f t="shared" si="8"/>
        <v>C3</v>
      </c>
      <c r="H84">
        <f t="shared" si="9"/>
        <v>758892.96468144038</v>
      </c>
    </row>
    <row r="85" spans="1:8" x14ac:dyDescent="0.3">
      <c r="A85">
        <v>84</v>
      </c>
      <c r="B85">
        <v>172</v>
      </c>
      <c r="C85">
        <v>3440</v>
      </c>
      <c r="D85">
        <f t="shared" si="5"/>
        <v>3196.5570931863549</v>
      </c>
      <c r="E85">
        <f t="shared" si="6"/>
        <v>2713.4607054460912</v>
      </c>
      <c r="F85">
        <f t="shared" si="7"/>
        <v>871.29441905789815</v>
      </c>
      <c r="G85" t="str">
        <f t="shared" si="8"/>
        <v>C3</v>
      </c>
      <c r="H85">
        <f t="shared" si="9"/>
        <v>759153.96468144027</v>
      </c>
    </row>
    <row r="86" spans="1:8" x14ac:dyDescent="0.3">
      <c r="A86">
        <v>85</v>
      </c>
      <c r="B86">
        <v>170</v>
      </c>
      <c r="C86">
        <v>3410</v>
      </c>
      <c r="D86">
        <f t="shared" si="5"/>
        <v>3166.4944733885136</v>
      </c>
      <c r="E86">
        <f t="shared" si="6"/>
        <v>2683.3980323463011</v>
      </c>
      <c r="F86">
        <f t="shared" si="7"/>
        <v>841.23128207681282</v>
      </c>
      <c r="G86" t="str">
        <f t="shared" si="8"/>
        <v>C3</v>
      </c>
      <c r="H86">
        <f t="shared" si="9"/>
        <v>707670.06994459825</v>
      </c>
    </row>
    <row r="87" spans="1:8" x14ac:dyDescent="0.3">
      <c r="A87">
        <v>86</v>
      </c>
      <c r="B87">
        <v>173</v>
      </c>
      <c r="C87">
        <v>3480</v>
      </c>
      <c r="D87">
        <f t="shared" si="5"/>
        <v>3236.5568510378434</v>
      </c>
      <c r="E87">
        <f t="shared" si="6"/>
        <v>2753.4603683365408</v>
      </c>
      <c r="F87">
        <f t="shared" si="7"/>
        <v>911.29330678834117</v>
      </c>
      <c r="G87" t="str">
        <f t="shared" si="8"/>
        <v>C3</v>
      </c>
      <c r="H87">
        <f t="shared" si="9"/>
        <v>830455.4909972297</v>
      </c>
    </row>
    <row r="88" spans="1:8" x14ac:dyDescent="0.3">
      <c r="A88">
        <v>87</v>
      </c>
      <c r="B88">
        <v>176</v>
      </c>
      <c r="C88">
        <v>3550</v>
      </c>
      <c r="D88">
        <f t="shared" si="5"/>
        <v>3306.6193082966174</v>
      </c>
      <c r="E88">
        <f t="shared" si="6"/>
        <v>2823.5227996246108</v>
      </c>
      <c r="F88">
        <f t="shared" si="7"/>
        <v>981.35565013396717</v>
      </c>
      <c r="G88" t="str">
        <f t="shared" si="8"/>
        <v>C3</v>
      </c>
      <c r="H88">
        <f t="shared" si="9"/>
        <v>963058.91204986139</v>
      </c>
    </row>
    <row r="89" spans="1:8" x14ac:dyDescent="0.3">
      <c r="A89">
        <v>88</v>
      </c>
      <c r="B89">
        <v>179</v>
      </c>
      <c r="C89">
        <v>3620</v>
      </c>
      <c r="D89">
        <f t="shared" si="5"/>
        <v>3376.6818402094091</v>
      </c>
      <c r="E89">
        <f t="shared" si="6"/>
        <v>2893.5853192881664</v>
      </c>
      <c r="F89">
        <f t="shared" si="7"/>
        <v>1051.4182484161538</v>
      </c>
      <c r="G89" t="str">
        <f t="shared" si="8"/>
        <v>C3</v>
      </c>
      <c r="H89">
        <f t="shared" si="9"/>
        <v>1105480.3331024928</v>
      </c>
    </row>
    <row r="90" spans="1:8" x14ac:dyDescent="0.3">
      <c r="A90">
        <v>89</v>
      </c>
      <c r="B90">
        <v>182</v>
      </c>
      <c r="C90">
        <v>3690</v>
      </c>
      <c r="D90">
        <f t="shared" si="5"/>
        <v>3446.7444422237049</v>
      </c>
      <c r="E90">
        <f t="shared" si="6"/>
        <v>2963.6479210594498</v>
      </c>
      <c r="F90">
        <f t="shared" si="7"/>
        <v>1121.481053854734</v>
      </c>
      <c r="G90" t="str">
        <f t="shared" si="8"/>
        <v>C3</v>
      </c>
      <c r="H90">
        <f t="shared" si="9"/>
        <v>1257719.7541551248</v>
      </c>
    </row>
    <row r="91" spans="1:8" x14ac:dyDescent="0.3">
      <c r="A91">
        <v>90</v>
      </c>
      <c r="B91">
        <v>180</v>
      </c>
      <c r="C91">
        <v>3660</v>
      </c>
      <c r="D91">
        <f t="shared" si="5"/>
        <v>3416.6821991516858</v>
      </c>
      <c r="E91">
        <f t="shared" si="6"/>
        <v>2933.5856899023761</v>
      </c>
      <c r="F91">
        <f t="shared" si="7"/>
        <v>1091.4191950933803</v>
      </c>
      <c r="G91" t="str">
        <f t="shared" si="8"/>
        <v>C3</v>
      </c>
      <c r="H91">
        <f t="shared" si="9"/>
        <v>1191195.8594182821</v>
      </c>
    </row>
    <row r="92" spans="1:8" x14ac:dyDescent="0.3">
      <c r="A92">
        <v>91</v>
      </c>
      <c r="B92">
        <v>183</v>
      </c>
      <c r="C92">
        <v>3660</v>
      </c>
      <c r="D92">
        <f t="shared" si="5"/>
        <v>3416.8319025085211</v>
      </c>
      <c r="E92">
        <f t="shared" si="6"/>
        <v>2933.7355027336735</v>
      </c>
      <c r="F92">
        <f t="shared" si="7"/>
        <v>1091.5689897657785</v>
      </c>
      <c r="G92" t="str">
        <f t="shared" si="8"/>
        <v>C3</v>
      </c>
      <c r="H92">
        <f t="shared" si="9"/>
        <v>1191522.8594182823</v>
      </c>
    </row>
    <row r="93" spans="1:8" x14ac:dyDescent="0.3">
      <c r="A93">
        <v>92</v>
      </c>
      <c r="B93">
        <v>186</v>
      </c>
      <c r="C93">
        <v>3730</v>
      </c>
      <c r="D93">
        <f t="shared" si="5"/>
        <v>3486.8942126195911</v>
      </c>
      <c r="E93">
        <f t="shared" si="6"/>
        <v>3003.7977628329108</v>
      </c>
      <c r="F93">
        <f t="shared" si="7"/>
        <v>1161.6308710046035</v>
      </c>
      <c r="G93" t="str">
        <f t="shared" si="8"/>
        <v>C3</v>
      </c>
      <c r="H93">
        <f t="shared" si="9"/>
        <v>1349386.2804709137</v>
      </c>
    </row>
    <row r="94" spans="1:8" x14ac:dyDescent="0.3">
      <c r="A94">
        <v>93</v>
      </c>
      <c r="B94">
        <v>189</v>
      </c>
      <c r="C94">
        <v>3800</v>
      </c>
      <c r="D94">
        <f t="shared" si="5"/>
        <v>3556.9565993978617</v>
      </c>
      <c r="E94">
        <f t="shared" si="6"/>
        <v>3073.8601139284137</v>
      </c>
      <c r="F94">
        <f t="shared" si="7"/>
        <v>1231.6930224384423</v>
      </c>
      <c r="G94" t="str">
        <f t="shared" si="8"/>
        <v>C3</v>
      </c>
      <c r="H94">
        <f t="shared" si="9"/>
        <v>1517067.7015235452</v>
      </c>
    </row>
    <row r="95" spans="1:8" x14ac:dyDescent="0.3">
      <c r="A95">
        <v>94</v>
      </c>
      <c r="B95">
        <v>192</v>
      </c>
      <c r="C95">
        <v>3870</v>
      </c>
      <c r="D95">
        <f t="shared" si="5"/>
        <v>3627.0190584004381</v>
      </c>
      <c r="E95">
        <f t="shared" si="6"/>
        <v>3143.9225499366235</v>
      </c>
      <c r="F95">
        <f t="shared" si="7"/>
        <v>1301.7554004405656</v>
      </c>
      <c r="G95" t="str">
        <f t="shared" si="8"/>
        <v>C3</v>
      </c>
      <c r="H95">
        <f t="shared" si="9"/>
        <v>1694567.1225761774</v>
      </c>
    </row>
    <row r="96" spans="1:8" x14ac:dyDescent="0.3">
      <c r="A96">
        <v>95</v>
      </c>
      <c r="B96">
        <v>190</v>
      </c>
      <c r="C96">
        <v>3840</v>
      </c>
      <c r="D96">
        <f t="shared" si="5"/>
        <v>3596.9566650155793</v>
      </c>
      <c r="E96">
        <f t="shared" si="6"/>
        <v>3113.8601445793934</v>
      </c>
      <c r="F96">
        <f t="shared" si="7"/>
        <v>1271.6930556700131</v>
      </c>
      <c r="G96" t="str">
        <f t="shared" si="8"/>
        <v>C3</v>
      </c>
      <c r="H96">
        <f t="shared" si="9"/>
        <v>1617203.2278393351</v>
      </c>
    </row>
    <row r="97" spans="1:8" x14ac:dyDescent="0.3">
      <c r="A97">
        <v>96</v>
      </c>
      <c r="B97">
        <v>193</v>
      </c>
      <c r="C97">
        <v>3910</v>
      </c>
      <c r="D97">
        <f t="shared" si="5"/>
        <v>3667.0192595621857</v>
      </c>
      <c r="E97">
        <f t="shared" si="6"/>
        <v>3183.9227377560528</v>
      </c>
      <c r="F97">
        <f t="shared" si="7"/>
        <v>1341.7558082199482</v>
      </c>
      <c r="G97" t="str">
        <f t="shared" si="8"/>
        <v>C3</v>
      </c>
      <c r="H97">
        <f t="shared" si="9"/>
        <v>1800308.6488919666</v>
      </c>
    </row>
    <row r="98" spans="1:8" x14ac:dyDescent="0.3">
      <c r="A98">
        <v>97</v>
      </c>
      <c r="B98">
        <v>196</v>
      </c>
      <c r="C98">
        <v>3980</v>
      </c>
      <c r="D98">
        <f t="shared" si="5"/>
        <v>3737.0819164155341</v>
      </c>
      <c r="E98">
        <f t="shared" si="6"/>
        <v>3253.9854025486961</v>
      </c>
      <c r="F98">
        <f t="shared" si="7"/>
        <v>1411.818710013647</v>
      </c>
      <c r="G98" t="str">
        <f t="shared" si="8"/>
        <v>C3</v>
      </c>
      <c r="H98">
        <f t="shared" si="9"/>
        <v>1993232.0699445982</v>
      </c>
    </row>
    <row r="99" spans="1:8" x14ac:dyDescent="0.3">
      <c r="A99">
        <v>98</v>
      </c>
      <c r="B99">
        <v>199</v>
      </c>
      <c r="C99">
        <v>3980</v>
      </c>
      <c r="D99">
        <f t="shared" si="5"/>
        <v>3737.2316291608149</v>
      </c>
      <c r="E99">
        <f t="shared" si="6"/>
        <v>3254.135215383651</v>
      </c>
      <c r="F99">
        <f t="shared" si="7"/>
        <v>1411.9685088360143</v>
      </c>
      <c r="G99" t="str">
        <f t="shared" si="8"/>
        <v>C3</v>
      </c>
      <c r="H99">
        <f t="shared" si="9"/>
        <v>1993655.0699445978</v>
      </c>
    </row>
    <row r="100" spans="1:8" x14ac:dyDescent="0.3">
      <c r="A100">
        <v>99</v>
      </c>
      <c r="B100">
        <v>202</v>
      </c>
      <c r="C100">
        <v>4050</v>
      </c>
      <c r="D100">
        <f t="shared" si="5"/>
        <v>3807.2939537156835</v>
      </c>
      <c r="E100">
        <f t="shared" si="6"/>
        <v>3324.1974971412274</v>
      </c>
      <c r="F100">
        <f t="shared" si="7"/>
        <v>1482.0305297115947</v>
      </c>
      <c r="G100" t="str">
        <f t="shared" si="8"/>
        <v>C3</v>
      </c>
      <c r="H100">
        <f t="shared" si="9"/>
        <v>2196414.4909972297</v>
      </c>
    </row>
    <row r="101" spans="1:8" x14ac:dyDescent="0.3">
      <c r="A101">
        <v>100</v>
      </c>
      <c r="B101">
        <v>200</v>
      </c>
      <c r="C101">
        <v>4020</v>
      </c>
      <c r="D101">
        <f t="shared" si="5"/>
        <v>3777.2314265874684</v>
      </c>
      <c r="E101">
        <f t="shared" si="6"/>
        <v>3294.1349395554516</v>
      </c>
      <c r="F101">
        <f t="shared" si="7"/>
        <v>1451.9678358215747</v>
      </c>
      <c r="G101" t="str">
        <f t="shared" si="8"/>
        <v>C3</v>
      </c>
      <c r="H101">
        <f t="shared" si="9"/>
        <v>2108210.5962603875</v>
      </c>
    </row>
    <row r="103" spans="1:8" x14ac:dyDescent="0.3">
      <c r="H103">
        <f>SUM(H2:H101)</f>
        <v>42646001.994459823</v>
      </c>
    </row>
  </sheetData>
  <mergeCells count="1">
    <mergeCell ref="J14:Q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31D7-8227-454E-B778-74DBD3D39782}">
  <dimension ref="A1:P103"/>
  <sheetViews>
    <sheetView topLeftCell="I1" workbookViewId="0">
      <selection activeCell="J14" sqref="J14:P17"/>
    </sheetView>
  </sheetViews>
  <sheetFormatPr baseColWidth="10" defaultColWidth="8.77734375" defaultRowHeight="14.4" x14ac:dyDescent="0.3"/>
  <cols>
    <col min="2" max="2" width="15.33203125" bestFit="1" customWidth="1"/>
    <col min="3" max="3" width="8.109375" bestFit="1" customWidth="1"/>
    <col min="10" max="10" width="13" bestFit="1" customWidth="1"/>
  </cols>
  <sheetData>
    <row r="1" spans="1:16" x14ac:dyDescent="0.3">
      <c r="A1" t="s">
        <v>0</v>
      </c>
      <c r="B1" t="s">
        <v>1</v>
      </c>
      <c r="C1" t="s">
        <v>2</v>
      </c>
      <c r="D1" t="s">
        <v>9</v>
      </c>
      <c r="E1" t="s">
        <v>10</v>
      </c>
      <c r="F1" t="s">
        <v>11</v>
      </c>
      <c r="G1" t="s">
        <v>12</v>
      </c>
      <c r="H1" t="s">
        <v>16</v>
      </c>
      <c r="J1" t="s">
        <v>3</v>
      </c>
      <c r="K1" t="s">
        <v>4</v>
      </c>
      <c r="L1" t="s">
        <v>5</v>
      </c>
    </row>
    <row r="2" spans="1:16" x14ac:dyDescent="0.3">
      <c r="A2">
        <v>1</v>
      </c>
      <c r="B2">
        <v>3</v>
      </c>
      <c r="C2">
        <v>70</v>
      </c>
      <c r="D2">
        <f>SQRT((B2-$K$2)^2+(C2-$L$2)^2)</f>
        <v>217.23029254687293</v>
      </c>
      <c r="E2">
        <f>SQRT((B2-$K$3)^2+(C2-$L$3)^2)</f>
        <v>981.17480603611102</v>
      </c>
      <c r="F2">
        <f>SQRT((B2-$K$4)^2+(C2-$L$4)^2)</f>
        <v>2783.4230724056306</v>
      </c>
      <c r="G2" t="str">
        <f>IF(D2=MIN(D2:F2),"C1",IF(E2=MIN(D2:F2),"C2","C3"))</f>
        <v>C1</v>
      </c>
      <c r="H2">
        <f>MIN(D4:F4)</f>
        <v>77.103826104804938</v>
      </c>
      <c r="J2" t="s">
        <v>6</v>
      </c>
      <c r="K2">
        <v>13</v>
      </c>
      <c r="L2">
        <v>287</v>
      </c>
    </row>
    <row r="3" spans="1:16" x14ac:dyDescent="0.3">
      <c r="A3">
        <v>2</v>
      </c>
      <c r="B3">
        <v>6</v>
      </c>
      <c r="C3">
        <v>140</v>
      </c>
      <c r="D3">
        <f t="shared" ref="D3:D66" si="0">SQRT((B3-$K$2)^2+(C3-$L$2)^2)</f>
        <v>147.16657229140046</v>
      </c>
      <c r="E3">
        <f t="shared" ref="E3:E66" si="1">SQRT((B3-$K$3)^2+(C3-$L$3)^2)</f>
        <v>911.11195799418635</v>
      </c>
      <c r="F3">
        <f t="shared" ref="F3:F66" si="2">SQRT((B3-$K$4)^2+(C3-$L$4)^2)</f>
        <v>2713.3604625998369</v>
      </c>
      <c r="G3" t="str">
        <f t="shared" ref="G3:G66" si="3">IF(D3=MIN(D3:F3),"C1",IF(E3=MIN(D3:F3),"C2","C3"))</f>
        <v>C1</v>
      </c>
      <c r="H3">
        <f t="shared" ref="H3:H66" si="4">MIN(D5:F5)</f>
        <v>7.0710678118654755</v>
      </c>
      <c r="J3" t="s">
        <v>7</v>
      </c>
      <c r="K3">
        <v>51</v>
      </c>
      <c r="L3">
        <v>1050</v>
      </c>
    </row>
    <row r="4" spans="1:16" x14ac:dyDescent="0.3">
      <c r="A4">
        <v>3</v>
      </c>
      <c r="B4">
        <v>9</v>
      </c>
      <c r="C4">
        <v>210</v>
      </c>
      <c r="D4">
        <f t="shared" si="0"/>
        <v>77.103826104804938</v>
      </c>
      <c r="E4">
        <f t="shared" si="1"/>
        <v>841.049344569033</v>
      </c>
      <c r="F4">
        <f t="shared" si="2"/>
        <v>2643.2979400741037</v>
      </c>
      <c r="G4" t="str">
        <f t="shared" si="3"/>
        <v>C1</v>
      </c>
      <c r="H4">
        <f t="shared" si="4"/>
        <v>37.12142238654117</v>
      </c>
      <c r="J4" t="s">
        <v>8</v>
      </c>
      <c r="K4">
        <v>141</v>
      </c>
      <c r="L4">
        <v>2850</v>
      </c>
    </row>
    <row r="5" spans="1:16" x14ac:dyDescent="0.3">
      <c r="A5">
        <v>4</v>
      </c>
      <c r="B5">
        <v>12</v>
      </c>
      <c r="C5">
        <v>280</v>
      </c>
      <c r="D5">
        <f t="shared" si="0"/>
        <v>7.0710678118654755</v>
      </c>
      <c r="E5">
        <f t="shared" si="1"/>
        <v>770.98702972229046</v>
      </c>
      <c r="F5">
        <f t="shared" si="2"/>
        <v>2573.23551195766</v>
      </c>
      <c r="G5" t="str">
        <f t="shared" si="3"/>
        <v>C1</v>
      </c>
      <c r="H5">
        <f t="shared" si="4"/>
        <v>33</v>
      </c>
    </row>
    <row r="6" spans="1:16" x14ac:dyDescent="0.3">
      <c r="A6">
        <v>5</v>
      </c>
      <c r="B6">
        <v>10</v>
      </c>
      <c r="C6">
        <v>250</v>
      </c>
      <c r="D6">
        <f t="shared" si="0"/>
        <v>37.12142238654117</v>
      </c>
      <c r="E6">
        <f t="shared" si="1"/>
        <v>801.04993602146931</v>
      </c>
      <c r="F6">
        <f t="shared" si="2"/>
        <v>2603.2981004871494</v>
      </c>
      <c r="G6" t="str">
        <f t="shared" si="3"/>
        <v>C1</v>
      </c>
      <c r="H6">
        <f t="shared" si="4"/>
        <v>33.136083051561783</v>
      </c>
    </row>
    <row r="7" spans="1:16" x14ac:dyDescent="0.3">
      <c r="A7">
        <v>6</v>
      </c>
      <c r="B7">
        <v>13</v>
      </c>
      <c r="C7">
        <v>320</v>
      </c>
      <c r="D7">
        <f t="shared" si="0"/>
        <v>33</v>
      </c>
      <c r="E7">
        <f t="shared" si="1"/>
        <v>730.98837200054015</v>
      </c>
      <c r="F7">
        <f t="shared" si="2"/>
        <v>2533.2358753183644</v>
      </c>
      <c r="G7" t="str">
        <f t="shared" si="3"/>
        <v>C1</v>
      </c>
      <c r="H7">
        <f t="shared" si="4"/>
        <v>103.1746092796091</v>
      </c>
      <c r="J7" t="s">
        <v>13</v>
      </c>
      <c r="K7" t="s">
        <v>4</v>
      </c>
      <c r="L7" t="s">
        <v>5</v>
      </c>
    </row>
    <row r="8" spans="1:16" x14ac:dyDescent="0.3">
      <c r="A8">
        <v>7</v>
      </c>
      <c r="B8">
        <v>16</v>
      </c>
      <c r="C8">
        <v>320</v>
      </c>
      <c r="D8">
        <f t="shared" si="0"/>
        <v>33.136083051561783</v>
      </c>
      <c r="E8">
        <f t="shared" si="1"/>
        <v>730.83855946440042</v>
      </c>
      <c r="F8">
        <f t="shared" si="2"/>
        <v>2533.0860624937322</v>
      </c>
      <c r="G8" t="str">
        <f t="shared" si="3"/>
        <v>C1</v>
      </c>
      <c r="H8">
        <f t="shared" si="4"/>
        <v>173.23394586512194</v>
      </c>
      <c r="J8" t="s">
        <v>6</v>
      </c>
      <c r="K8">
        <f>AVERAGEIF($G:$G,"C1",$B:$B)</f>
        <v>18</v>
      </c>
      <c r="L8">
        <f>AVERAGEIF($G:$G,"C1",$C:$C)</f>
        <v>388.66666666666669</v>
      </c>
    </row>
    <row r="9" spans="1:16" x14ac:dyDescent="0.3">
      <c r="A9">
        <v>8</v>
      </c>
      <c r="B9">
        <v>19</v>
      </c>
      <c r="C9">
        <v>390</v>
      </c>
      <c r="D9">
        <f t="shared" si="0"/>
        <v>103.1746092796091</v>
      </c>
      <c r="E9">
        <f t="shared" si="1"/>
        <v>660.77530220189067</v>
      </c>
      <c r="F9">
        <f t="shared" si="2"/>
        <v>2463.0233454029621</v>
      </c>
      <c r="G9" t="str">
        <f t="shared" si="3"/>
        <v>C1</v>
      </c>
      <c r="H9">
        <f t="shared" si="4"/>
        <v>143.17122615944868</v>
      </c>
      <c r="J9" t="s">
        <v>7</v>
      </c>
      <c r="K9">
        <f>AVERAGEIF($G:$G,"C2",$B:$B)</f>
        <v>63.967741935483872</v>
      </c>
      <c r="L9">
        <f>AVERAGEIF($G:$G,"C2",$C:$C)</f>
        <v>1309.3548387096773</v>
      </c>
    </row>
    <row r="10" spans="1:16" x14ac:dyDescent="0.3">
      <c r="A10">
        <v>9</v>
      </c>
      <c r="B10">
        <v>22</v>
      </c>
      <c r="C10">
        <v>460</v>
      </c>
      <c r="D10">
        <f t="shared" si="0"/>
        <v>173.23394586512194</v>
      </c>
      <c r="E10">
        <f t="shared" si="1"/>
        <v>590.71228191057617</v>
      </c>
      <c r="F10">
        <f t="shared" si="2"/>
        <v>2392.9607184406518</v>
      </c>
      <c r="G10" t="str">
        <f t="shared" si="3"/>
        <v>C1</v>
      </c>
      <c r="H10">
        <f t="shared" si="4"/>
        <v>213.23461257497573</v>
      </c>
      <c r="J10" t="s">
        <v>8</v>
      </c>
      <c r="K10">
        <f>AVERAGEIF($G:$G,"C3",$B:$B)</f>
        <v>149.0185185185185</v>
      </c>
      <c r="L10">
        <f>AVERAGEIF($G:$G,"C3",$C:$C)</f>
        <v>3010.1851851851852</v>
      </c>
    </row>
    <row r="11" spans="1:16" x14ac:dyDescent="0.3">
      <c r="A11">
        <v>10</v>
      </c>
      <c r="B11">
        <v>20</v>
      </c>
      <c r="C11">
        <v>430</v>
      </c>
      <c r="D11">
        <f t="shared" si="0"/>
        <v>143.17122615944868</v>
      </c>
      <c r="E11">
        <f t="shared" si="1"/>
        <v>620.77451622952435</v>
      </c>
      <c r="F11">
        <f t="shared" si="2"/>
        <v>2423.0231117345952</v>
      </c>
      <c r="G11" t="str">
        <f t="shared" si="3"/>
        <v>C1</v>
      </c>
      <c r="H11">
        <f t="shared" si="4"/>
        <v>283.29842922261321</v>
      </c>
    </row>
    <row r="12" spans="1:16" x14ac:dyDescent="0.3">
      <c r="A12">
        <v>11</v>
      </c>
      <c r="B12">
        <v>23</v>
      </c>
      <c r="C12">
        <v>500</v>
      </c>
      <c r="D12">
        <f t="shared" si="0"/>
        <v>213.23461257497573</v>
      </c>
      <c r="E12">
        <f t="shared" si="1"/>
        <v>550.71226607004132</v>
      </c>
      <c r="F12">
        <f t="shared" si="2"/>
        <v>2352.9606881543941</v>
      </c>
      <c r="G12" t="str">
        <f t="shared" si="3"/>
        <v>C1</v>
      </c>
      <c r="H12">
        <f t="shared" si="4"/>
        <v>353.36242018641428</v>
      </c>
    </row>
    <row r="13" spans="1:16" x14ac:dyDescent="0.3">
      <c r="A13">
        <v>12</v>
      </c>
      <c r="B13">
        <v>26</v>
      </c>
      <c r="C13">
        <v>570</v>
      </c>
      <c r="D13">
        <f t="shared" si="0"/>
        <v>283.29842922261321</v>
      </c>
      <c r="E13">
        <f t="shared" si="1"/>
        <v>480.65060074861032</v>
      </c>
      <c r="F13">
        <f t="shared" si="2"/>
        <v>2282.8983770636837</v>
      </c>
      <c r="G13" t="str">
        <f t="shared" si="3"/>
        <v>C1</v>
      </c>
      <c r="H13">
        <f t="shared" si="4"/>
        <v>353.51096164051262</v>
      </c>
    </row>
    <row r="14" spans="1:16" x14ac:dyDescent="0.3">
      <c r="A14">
        <v>13</v>
      </c>
      <c r="B14">
        <v>29</v>
      </c>
      <c r="C14">
        <v>640</v>
      </c>
      <c r="D14">
        <f t="shared" si="0"/>
        <v>353.36242018641428</v>
      </c>
      <c r="E14">
        <f t="shared" si="1"/>
        <v>410.58981964973265</v>
      </c>
      <c r="F14">
        <f t="shared" si="2"/>
        <v>2212.8361891473123</v>
      </c>
      <c r="G14" t="str">
        <f t="shared" si="3"/>
        <v>C1</v>
      </c>
      <c r="H14">
        <f t="shared" si="4"/>
        <v>323.44705903748763</v>
      </c>
      <c r="J14" s="2" t="s">
        <v>19</v>
      </c>
      <c r="K14" s="2"/>
      <c r="L14" s="2"/>
      <c r="M14" s="2"/>
      <c r="N14" s="2"/>
      <c r="O14" s="2"/>
      <c r="P14" s="2"/>
    </row>
    <row r="15" spans="1:16" x14ac:dyDescent="0.3">
      <c r="A15">
        <v>14</v>
      </c>
      <c r="B15">
        <v>32</v>
      </c>
      <c r="C15">
        <v>640</v>
      </c>
      <c r="D15">
        <f t="shared" si="0"/>
        <v>353.51096164051262</v>
      </c>
      <c r="E15">
        <f t="shared" si="1"/>
        <v>410.440007796511</v>
      </c>
      <c r="F15">
        <f t="shared" si="2"/>
        <v>2212.6863763308165</v>
      </c>
      <c r="G15" t="str">
        <f t="shared" si="3"/>
        <v>C1</v>
      </c>
      <c r="H15">
        <f t="shared" si="4"/>
        <v>370.43757908721949</v>
      </c>
      <c r="J15" s="2"/>
      <c r="K15" s="2"/>
      <c r="L15" s="2"/>
      <c r="M15" s="2"/>
      <c r="N15" s="2"/>
      <c r="O15" s="2"/>
      <c r="P15" s="2"/>
    </row>
    <row r="16" spans="1:16" x14ac:dyDescent="0.3">
      <c r="A16">
        <v>15</v>
      </c>
      <c r="B16">
        <v>30</v>
      </c>
      <c r="C16">
        <v>610</v>
      </c>
      <c r="D16">
        <f t="shared" si="0"/>
        <v>323.44705903748763</v>
      </c>
      <c r="E16">
        <f t="shared" si="1"/>
        <v>440.50085130451225</v>
      </c>
      <c r="F16">
        <f t="shared" si="2"/>
        <v>2242.748536951925</v>
      </c>
      <c r="G16" t="str">
        <f t="shared" si="3"/>
        <v>C1</v>
      </c>
      <c r="H16">
        <f t="shared" si="4"/>
        <v>300.37476591751181</v>
      </c>
      <c r="J16" s="2"/>
      <c r="K16" s="2"/>
      <c r="L16" s="2"/>
      <c r="M16" s="2"/>
      <c r="N16" s="2"/>
      <c r="O16" s="2"/>
      <c r="P16" s="2"/>
    </row>
    <row r="17" spans="1:16" x14ac:dyDescent="0.3">
      <c r="A17">
        <v>16</v>
      </c>
      <c r="B17">
        <v>33</v>
      </c>
      <c r="C17">
        <v>680</v>
      </c>
      <c r="D17">
        <f t="shared" si="0"/>
        <v>393.5085767807355</v>
      </c>
      <c r="E17">
        <f t="shared" si="1"/>
        <v>370.43757908721949</v>
      </c>
      <c r="F17">
        <f t="shared" si="2"/>
        <v>2172.6858953838678</v>
      </c>
      <c r="G17" t="str">
        <f t="shared" si="3"/>
        <v>C2</v>
      </c>
      <c r="H17">
        <f t="shared" si="4"/>
        <v>230.31283073246266</v>
      </c>
      <c r="J17" s="2"/>
      <c r="K17" s="2"/>
      <c r="L17" s="2"/>
      <c r="M17" s="2"/>
      <c r="N17" s="2"/>
      <c r="O17" s="2"/>
      <c r="P17" s="2"/>
    </row>
    <row r="18" spans="1:16" x14ac:dyDescent="0.3">
      <c r="A18">
        <v>17</v>
      </c>
      <c r="B18">
        <v>36</v>
      </c>
      <c r="C18">
        <v>750</v>
      </c>
      <c r="D18">
        <f t="shared" si="0"/>
        <v>463.57092229776447</v>
      </c>
      <c r="E18">
        <f t="shared" si="1"/>
        <v>300.37476591751181</v>
      </c>
      <c r="F18">
        <f t="shared" si="2"/>
        <v>2102.6233614225825</v>
      </c>
      <c r="G18" t="str">
        <f t="shared" si="3"/>
        <v>C2</v>
      </c>
      <c r="H18">
        <f t="shared" si="4"/>
        <v>160.25292509030842</v>
      </c>
    </row>
    <row r="19" spans="1:16" x14ac:dyDescent="0.3">
      <c r="A19">
        <v>18</v>
      </c>
      <c r="B19">
        <v>39</v>
      </c>
      <c r="C19">
        <v>820</v>
      </c>
      <c r="D19">
        <f t="shared" si="0"/>
        <v>533.63376954611863</v>
      </c>
      <c r="E19">
        <f t="shared" si="1"/>
        <v>230.31283073246266</v>
      </c>
      <c r="F19">
        <f t="shared" si="2"/>
        <v>2032.5609461957101</v>
      </c>
      <c r="G19" t="str">
        <f t="shared" si="3"/>
        <v>C2</v>
      </c>
      <c r="H19">
        <f t="shared" si="4"/>
        <v>190.31815467789718</v>
      </c>
    </row>
    <row r="20" spans="1:16" x14ac:dyDescent="0.3">
      <c r="A20">
        <v>19</v>
      </c>
      <c r="B20">
        <v>42</v>
      </c>
      <c r="C20">
        <v>890</v>
      </c>
      <c r="D20">
        <f t="shared" si="0"/>
        <v>603.69694383854551</v>
      </c>
      <c r="E20">
        <f t="shared" si="1"/>
        <v>160.25292509030842</v>
      </c>
      <c r="F20">
        <f t="shared" si="2"/>
        <v>1962.4986624199264</v>
      </c>
      <c r="G20" t="str">
        <f t="shared" si="3"/>
        <v>C2</v>
      </c>
      <c r="H20">
        <f t="shared" si="4"/>
        <v>190.16834647227702</v>
      </c>
    </row>
    <row r="21" spans="1:16" x14ac:dyDescent="0.3">
      <c r="A21">
        <v>20</v>
      </c>
      <c r="B21">
        <v>40</v>
      </c>
      <c r="C21">
        <v>860</v>
      </c>
      <c r="D21">
        <f t="shared" si="0"/>
        <v>573.63577294307584</v>
      </c>
      <c r="E21">
        <f t="shared" si="1"/>
        <v>190.31815467789718</v>
      </c>
      <c r="F21">
        <f t="shared" si="2"/>
        <v>1992.5614168702555</v>
      </c>
      <c r="G21" t="str">
        <f t="shared" si="3"/>
        <v>C2</v>
      </c>
      <c r="H21">
        <f t="shared" si="4"/>
        <v>120.10412149464314</v>
      </c>
    </row>
    <row r="22" spans="1:16" x14ac:dyDescent="0.3">
      <c r="A22">
        <v>21</v>
      </c>
      <c r="B22">
        <v>43</v>
      </c>
      <c r="C22">
        <v>860</v>
      </c>
      <c r="D22">
        <f t="shared" si="0"/>
        <v>573.78480286602223</v>
      </c>
      <c r="E22">
        <f t="shared" si="1"/>
        <v>190.16834647227702</v>
      </c>
      <c r="F22">
        <f t="shared" si="2"/>
        <v>1992.4116040617712</v>
      </c>
      <c r="G22" t="str">
        <f t="shared" si="3"/>
        <v>C2</v>
      </c>
      <c r="H22">
        <f t="shared" si="4"/>
        <v>50.039984012787215</v>
      </c>
    </row>
    <row r="23" spans="1:16" x14ac:dyDescent="0.3">
      <c r="A23">
        <v>22</v>
      </c>
      <c r="B23">
        <v>46</v>
      </c>
      <c r="C23">
        <v>930</v>
      </c>
      <c r="D23">
        <f t="shared" si="0"/>
        <v>643.84625493979536</v>
      </c>
      <c r="E23">
        <f t="shared" si="1"/>
        <v>120.10412149464314</v>
      </c>
      <c r="F23">
        <f t="shared" si="2"/>
        <v>1922.3488237050008</v>
      </c>
      <c r="G23" t="str">
        <f t="shared" si="3"/>
        <v>C2</v>
      </c>
      <c r="H23">
        <f t="shared" si="4"/>
        <v>20.024984394500787</v>
      </c>
    </row>
    <row r="24" spans="1:16" x14ac:dyDescent="0.3">
      <c r="A24">
        <v>23</v>
      </c>
      <c r="B24">
        <v>49</v>
      </c>
      <c r="C24">
        <v>1000</v>
      </c>
      <c r="D24">
        <f t="shared" si="0"/>
        <v>713.90825741127264</v>
      </c>
      <c r="E24">
        <f t="shared" si="1"/>
        <v>50.039984012787215</v>
      </c>
      <c r="F24">
        <f t="shared" si="2"/>
        <v>1852.2861549987356</v>
      </c>
      <c r="G24" t="str">
        <f t="shared" si="3"/>
        <v>C2</v>
      </c>
      <c r="H24">
        <f t="shared" si="4"/>
        <v>10.04987562112089</v>
      </c>
    </row>
    <row r="25" spans="1:16" x14ac:dyDescent="0.3">
      <c r="A25">
        <v>24</v>
      </c>
      <c r="B25">
        <v>52</v>
      </c>
      <c r="C25">
        <v>1070</v>
      </c>
      <c r="D25">
        <f t="shared" si="0"/>
        <v>783.97066271640551</v>
      </c>
      <c r="E25">
        <f t="shared" si="1"/>
        <v>20.024984394500787</v>
      </c>
      <c r="F25">
        <f t="shared" si="2"/>
        <v>1782.2236111105699</v>
      </c>
      <c r="G25" t="str">
        <f t="shared" si="3"/>
        <v>C2</v>
      </c>
      <c r="H25">
        <f t="shared" si="4"/>
        <v>60.033324079214538</v>
      </c>
    </row>
    <row r="26" spans="1:16" x14ac:dyDescent="0.3">
      <c r="A26">
        <v>25</v>
      </c>
      <c r="B26">
        <v>50</v>
      </c>
      <c r="C26">
        <v>1040</v>
      </c>
      <c r="D26">
        <f t="shared" si="0"/>
        <v>753.9084825096478</v>
      </c>
      <c r="E26">
        <f t="shared" si="1"/>
        <v>10.04987562112089</v>
      </c>
      <c r="F26">
        <f t="shared" si="2"/>
        <v>1812.2861253124463</v>
      </c>
      <c r="G26" t="str">
        <f t="shared" si="3"/>
        <v>C2</v>
      </c>
      <c r="H26">
        <f t="shared" si="4"/>
        <v>130.09611831257686</v>
      </c>
    </row>
    <row r="27" spans="1:16" x14ac:dyDescent="0.3">
      <c r="A27">
        <v>26</v>
      </c>
      <c r="B27">
        <v>53</v>
      </c>
      <c r="C27">
        <v>1110</v>
      </c>
      <c r="D27">
        <f t="shared" si="0"/>
        <v>823.97148008896522</v>
      </c>
      <c r="E27">
        <f t="shared" si="1"/>
        <v>60.033324079214538</v>
      </c>
      <c r="F27">
        <f t="shared" si="2"/>
        <v>1742.2238662123764</v>
      </c>
      <c r="G27" t="str">
        <f t="shared" si="3"/>
        <v>C2</v>
      </c>
      <c r="H27">
        <f t="shared" si="4"/>
        <v>130.24592124131948</v>
      </c>
    </row>
    <row r="28" spans="1:16" x14ac:dyDescent="0.3">
      <c r="A28">
        <v>27</v>
      </c>
      <c r="B28">
        <v>56</v>
      </c>
      <c r="C28">
        <v>1180</v>
      </c>
      <c r="D28">
        <f t="shared" si="0"/>
        <v>894.0346749427564</v>
      </c>
      <c r="E28">
        <f t="shared" si="1"/>
        <v>130.09611831257686</v>
      </c>
      <c r="F28">
        <f t="shared" si="2"/>
        <v>1672.161774470401</v>
      </c>
      <c r="G28" t="str">
        <f t="shared" si="3"/>
        <v>C2</v>
      </c>
      <c r="H28">
        <f t="shared" si="4"/>
        <v>200.30227157973022</v>
      </c>
    </row>
    <row r="29" spans="1:16" x14ac:dyDescent="0.3">
      <c r="A29">
        <v>28</v>
      </c>
      <c r="B29">
        <v>59</v>
      </c>
      <c r="C29">
        <v>1180</v>
      </c>
      <c r="D29">
        <f t="shared" si="0"/>
        <v>894.18398554212547</v>
      </c>
      <c r="E29">
        <f t="shared" si="1"/>
        <v>130.24592124131948</v>
      </c>
      <c r="F29">
        <f t="shared" si="2"/>
        <v>1672.0119616797003</v>
      </c>
      <c r="G29" t="str">
        <f t="shared" si="3"/>
        <v>C2</v>
      </c>
      <c r="H29">
        <f t="shared" si="4"/>
        <v>170.23806859806652</v>
      </c>
    </row>
    <row r="30" spans="1:16" x14ac:dyDescent="0.3">
      <c r="A30">
        <v>29</v>
      </c>
      <c r="B30">
        <v>62</v>
      </c>
      <c r="C30">
        <v>1250</v>
      </c>
      <c r="D30">
        <f t="shared" si="0"/>
        <v>964.2458192805401</v>
      </c>
      <c r="E30">
        <f t="shared" si="1"/>
        <v>200.30227157973022</v>
      </c>
      <c r="F30">
        <f t="shared" si="2"/>
        <v>1601.9491252845703</v>
      </c>
      <c r="G30" t="str">
        <f t="shared" si="3"/>
        <v>C2</v>
      </c>
      <c r="H30">
        <f t="shared" si="4"/>
        <v>240.29981273400944</v>
      </c>
    </row>
    <row r="31" spans="1:16" x14ac:dyDescent="0.3">
      <c r="A31">
        <v>30</v>
      </c>
      <c r="B31">
        <v>60</v>
      </c>
      <c r="C31">
        <v>1220</v>
      </c>
      <c r="D31">
        <f t="shared" si="0"/>
        <v>934.18306557119729</v>
      </c>
      <c r="E31">
        <f t="shared" si="1"/>
        <v>170.23806859806652</v>
      </c>
      <c r="F31">
        <f t="shared" si="2"/>
        <v>1632.0113357449452</v>
      </c>
      <c r="G31" t="str">
        <f t="shared" si="3"/>
        <v>C2</v>
      </c>
      <c r="H31">
        <f t="shared" si="4"/>
        <v>310.3626910567699</v>
      </c>
    </row>
    <row r="32" spans="1:16" x14ac:dyDescent="0.3">
      <c r="A32">
        <v>31</v>
      </c>
      <c r="B32">
        <v>63</v>
      </c>
      <c r="C32">
        <v>1290</v>
      </c>
      <c r="D32">
        <f t="shared" si="0"/>
        <v>1004.2454879161768</v>
      </c>
      <c r="E32">
        <f t="shared" si="1"/>
        <v>240.29981273400944</v>
      </c>
      <c r="F32">
        <f t="shared" si="2"/>
        <v>1561.9487827710614</v>
      </c>
      <c r="G32" t="str">
        <f t="shared" si="3"/>
        <v>C2</v>
      </c>
      <c r="H32">
        <f t="shared" si="4"/>
        <v>380.42607691902509</v>
      </c>
    </row>
    <row r="33" spans="1:8" x14ac:dyDescent="0.3">
      <c r="A33">
        <v>32</v>
      </c>
      <c r="B33">
        <v>66</v>
      </c>
      <c r="C33">
        <v>1360</v>
      </c>
      <c r="D33">
        <f t="shared" si="0"/>
        <v>1074.3081494617827</v>
      </c>
      <c r="E33">
        <f t="shared" si="1"/>
        <v>310.3626910567699</v>
      </c>
      <c r="F33">
        <f t="shared" si="2"/>
        <v>1491.8863897763797</v>
      </c>
      <c r="G33" t="str">
        <f t="shared" si="3"/>
        <v>C2</v>
      </c>
      <c r="H33">
        <f t="shared" si="4"/>
        <v>450.48973351231876</v>
      </c>
    </row>
    <row r="34" spans="1:8" x14ac:dyDescent="0.3">
      <c r="A34">
        <v>33</v>
      </c>
      <c r="B34">
        <v>69</v>
      </c>
      <c r="C34">
        <v>1430</v>
      </c>
      <c r="D34">
        <f t="shared" si="0"/>
        <v>1144.3710062737521</v>
      </c>
      <c r="E34">
        <f t="shared" si="1"/>
        <v>380.42607691902509</v>
      </c>
      <c r="F34">
        <f t="shared" si="2"/>
        <v>1421.8241804105035</v>
      </c>
      <c r="G34" t="str">
        <f t="shared" si="3"/>
        <v>C2</v>
      </c>
      <c r="H34">
        <f t="shared" si="4"/>
        <v>350.51533489991562</v>
      </c>
    </row>
    <row r="35" spans="1:8" x14ac:dyDescent="0.3">
      <c r="A35">
        <v>34</v>
      </c>
      <c r="B35">
        <v>72</v>
      </c>
      <c r="C35">
        <v>1500</v>
      </c>
      <c r="D35">
        <f t="shared" si="0"/>
        <v>1214.4340245562951</v>
      </c>
      <c r="E35">
        <f t="shared" si="1"/>
        <v>450.48973351231876</v>
      </c>
      <c r="F35">
        <f t="shared" si="2"/>
        <v>1351.7621832260288</v>
      </c>
      <c r="G35" t="str">
        <f t="shared" si="3"/>
        <v>C2</v>
      </c>
      <c r="H35">
        <f t="shared" si="4"/>
        <v>420.57579578477885</v>
      </c>
    </row>
    <row r="36" spans="1:8" x14ac:dyDescent="0.3">
      <c r="A36">
        <v>35</v>
      </c>
      <c r="B36">
        <v>70</v>
      </c>
      <c r="C36">
        <v>1400</v>
      </c>
      <c r="D36">
        <f t="shared" si="0"/>
        <v>1114.4586129596737</v>
      </c>
      <c r="E36">
        <f t="shared" si="1"/>
        <v>350.51533489991562</v>
      </c>
      <c r="F36">
        <f t="shared" si="2"/>
        <v>1451.7372351772203</v>
      </c>
      <c r="G36" t="str">
        <f t="shared" si="3"/>
        <v>C2</v>
      </c>
      <c r="H36">
        <f t="shared" si="4"/>
        <v>490.63734060913055</v>
      </c>
    </row>
    <row r="37" spans="1:8" x14ac:dyDescent="0.3">
      <c r="A37">
        <v>36</v>
      </c>
      <c r="B37">
        <v>73</v>
      </c>
      <c r="C37">
        <v>1470</v>
      </c>
      <c r="D37">
        <f t="shared" si="0"/>
        <v>1184.5205781243312</v>
      </c>
      <c r="E37">
        <f t="shared" si="1"/>
        <v>420.57579578477885</v>
      </c>
      <c r="F37">
        <f t="shared" si="2"/>
        <v>1381.674346580988</v>
      </c>
      <c r="G37" t="str">
        <f t="shared" si="3"/>
        <v>C2</v>
      </c>
      <c r="H37">
        <f t="shared" si="4"/>
        <v>560.69956304602204</v>
      </c>
    </row>
    <row r="38" spans="1:8" x14ac:dyDescent="0.3">
      <c r="A38">
        <v>37</v>
      </c>
      <c r="B38">
        <v>76</v>
      </c>
      <c r="C38">
        <v>1540</v>
      </c>
      <c r="D38">
        <f t="shared" si="0"/>
        <v>1254.582799180668</v>
      </c>
      <c r="E38">
        <f t="shared" si="1"/>
        <v>490.63734060913055</v>
      </c>
      <c r="F38">
        <f t="shared" si="2"/>
        <v>1311.6116040962736</v>
      </c>
      <c r="G38" t="str">
        <f t="shared" si="3"/>
        <v>C2</v>
      </c>
      <c r="H38">
        <f t="shared" si="4"/>
        <v>630.76223729706589</v>
      </c>
    </row>
    <row r="39" spans="1:8" x14ac:dyDescent="0.3">
      <c r="A39">
        <v>38</v>
      </c>
      <c r="B39">
        <v>79</v>
      </c>
      <c r="C39">
        <v>1610</v>
      </c>
      <c r="D39">
        <f t="shared" si="0"/>
        <v>1324.6452355253462</v>
      </c>
      <c r="E39">
        <f t="shared" si="1"/>
        <v>560.69956304602204</v>
      </c>
      <c r="F39">
        <f t="shared" si="2"/>
        <v>1241.5490324590487</v>
      </c>
      <c r="G39" t="str">
        <f t="shared" si="3"/>
        <v>C2</v>
      </c>
      <c r="H39">
        <f t="shared" si="4"/>
        <v>600.70042450459448</v>
      </c>
    </row>
    <row r="40" spans="1:8" x14ac:dyDescent="0.3">
      <c r="A40">
        <v>39</v>
      </c>
      <c r="B40">
        <v>82</v>
      </c>
      <c r="C40">
        <v>1680</v>
      </c>
      <c r="D40">
        <f t="shared" si="0"/>
        <v>1394.7078547136673</v>
      </c>
      <c r="E40">
        <f t="shared" si="1"/>
        <v>630.76223729706589</v>
      </c>
      <c r="F40">
        <f t="shared" si="2"/>
        <v>1171.4866623227088</v>
      </c>
      <c r="G40" t="str">
        <f t="shared" si="3"/>
        <v>C2</v>
      </c>
      <c r="H40">
        <f t="shared" si="4"/>
        <v>670.76374380254038</v>
      </c>
    </row>
    <row r="41" spans="1:8" x14ac:dyDescent="0.3">
      <c r="A41">
        <v>40</v>
      </c>
      <c r="B41">
        <v>80</v>
      </c>
      <c r="C41">
        <v>1650</v>
      </c>
      <c r="D41">
        <f t="shared" si="0"/>
        <v>1364.6457415754464</v>
      </c>
      <c r="E41">
        <f t="shared" si="1"/>
        <v>600.70042450459448</v>
      </c>
      <c r="F41">
        <f t="shared" si="2"/>
        <v>1201.5494163787023</v>
      </c>
      <c r="G41" t="str">
        <f t="shared" si="3"/>
        <v>C2</v>
      </c>
      <c r="H41">
        <f t="shared" si="4"/>
        <v>670.91355627979374</v>
      </c>
    </row>
    <row r="42" spans="1:8" x14ac:dyDescent="0.3">
      <c r="A42">
        <v>41</v>
      </c>
      <c r="B42">
        <v>83</v>
      </c>
      <c r="C42">
        <v>1720</v>
      </c>
      <c r="D42">
        <f t="shared" si="0"/>
        <v>1434.7086812311411</v>
      </c>
      <c r="E42">
        <f t="shared" si="1"/>
        <v>670.76374380254038</v>
      </c>
      <c r="F42">
        <f t="shared" si="2"/>
        <v>1131.4875165020603</v>
      </c>
      <c r="G42" t="str">
        <f t="shared" si="3"/>
        <v>C2</v>
      </c>
      <c r="H42">
        <f t="shared" si="4"/>
        <v>740.97503331758753</v>
      </c>
    </row>
    <row r="43" spans="1:8" x14ac:dyDescent="0.3">
      <c r="A43">
        <v>42</v>
      </c>
      <c r="B43">
        <v>86</v>
      </c>
      <c r="C43">
        <v>1720</v>
      </c>
      <c r="D43">
        <f t="shared" si="0"/>
        <v>1434.8581811454399</v>
      </c>
      <c r="E43">
        <f t="shared" si="1"/>
        <v>670.91355627979374</v>
      </c>
      <c r="F43">
        <f t="shared" si="2"/>
        <v>1131.3377037825619</v>
      </c>
      <c r="G43" t="str">
        <f t="shared" si="3"/>
        <v>C2</v>
      </c>
      <c r="H43">
        <f t="shared" si="4"/>
        <v>811.03699052509307</v>
      </c>
    </row>
    <row r="44" spans="1:8" x14ac:dyDescent="0.3">
      <c r="A44">
        <v>43</v>
      </c>
      <c r="B44">
        <v>89</v>
      </c>
      <c r="C44">
        <v>1790</v>
      </c>
      <c r="D44">
        <f t="shared" si="0"/>
        <v>1504.9202636684774</v>
      </c>
      <c r="E44">
        <f t="shared" si="1"/>
        <v>740.97503331758753</v>
      </c>
      <c r="F44">
        <f t="shared" si="2"/>
        <v>1061.274705248363</v>
      </c>
      <c r="G44" t="str">
        <f t="shared" si="3"/>
        <v>C2</v>
      </c>
      <c r="H44">
        <f t="shared" si="4"/>
        <v>780.97439138553068</v>
      </c>
    </row>
    <row r="45" spans="1:8" x14ac:dyDescent="0.3">
      <c r="A45">
        <v>44</v>
      </c>
      <c r="B45">
        <v>92</v>
      </c>
      <c r="C45">
        <v>1860</v>
      </c>
      <c r="D45">
        <f t="shared" si="0"/>
        <v>1574.9825395857567</v>
      </c>
      <c r="E45">
        <f t="shared" si="1"/>
        <v>811.03699052509307</v>
      </c>
      <c r="F45">
        <f t="shared" si="2"/>
        <v>991.21188451309445</v>
      </c>
      <c r="G45" t="str">
        <f t="shared" si="3"/>
        <v>C2</v>
      </c>
      <c r="H45">
        <f t="shared" si="4"/>
        <v>851.03701447116862</v>
      </c>
    </row>
    <row r="46" spans="1:8" x14ac:dyDescent="0.3">
      <c r="A46">
        <v>45</v>
      </c>
      <c r="B46">
        <v>90</v>
      </c>
      <c r="C46">
        <v>1830</v>
      </c>
      <c r="D46">
        <f t="shared" si="0"/>
        <v>1544.9200626569648</v>
      </c>
      <c r="E46">
        <f t="shared" si="1"/>
        <v>780.97439138553068</v>
      </c>
      <c r="F46">
        <f t="shared" si="2"/>
        <v>1021.2742041195401</v>
      </c>
      <c r="G46" t="str">
        <f t="shared" si="3"/>
        <v>C2</v>
      </c>
      <c r="H46">
        <f t="shared" si="4"/>
        <v>881.14981700049168</v>
      </c>
    </row>
    <row r="47" spans="1:8" x14ac:dyDescent="0.3">
      <c r="A47">
        <v>46</v>
      </c>
      <c r="B47">
        <v>93</v>
      </c>
      <c r="C47">
        <v>1900</v>
      </c>
      <c r="D47">
        <f t="shared" si="0"/>
        <v>1614.9826624456375</v>
      </c>
      <c r="E47">
        <f t="shared" si="1"/>
        <v>851.03701447116862</v>
      </c>
      <c r="F47">
        <f t="shared" si="2"/>
        <v>951.21185863087305</v>
      </c>
      <c r="G47" t="str">
        <f t="shared" si="3"/>
        <v>C2</v>
      </c>
      <c r="H47">
        <f t="shared" si="4"/>
        <v>811.08815797051307</v>
      </c>
    </row>
    <row r="48" spans="1:8" x14ac:dyDescent="0.3">
      <c r="A48">
        <v>47</v>
      </c>
      <c r="B48">
        <v>96</v>
      </c>
      <c r="C48">
        <v>1970</v>
      </c>
      <c r="D48">
        <f t="shared" si="0"/>
        <v>1685.0453999818521</v>
      </c>
      <c r="E48">
        <f t="shared" si="1"/>
        <v>921.09988600585552</v>
      </c>
      <c r="F48">
        <f t="shared" si="2"/>
        <v>881.14981700049168</v>
      </c>
      <c r="G48" t="str">
        <f t="shared" si="3"/>
        <v>C3</v>
      </c>
      <c r="H48">
        <f t="shared" si="4"/>
        <v>810.93834537528187</v>
      </c>
    </row>
    <row r="49" spans="1:8" x14ac:dyDescent="0.3">
      <c r="A49">
        <v>48</v>
      </c>
      <c r="B49">
        <v>99</v>
      </c>
      <c r="C49">
        <v>2040</v>
      </c>
      <c r="D49">
        <f t="shared" si="0"/>
        <v>1755.108258769242</v>
      </c>
      <c r="E49">
        <f t="shared" si="1"/>
        <v>991.16295330283606</v>
      </c>
      <c r="F49">
        <f t="shared" si="2"/>
        <v>811.08815797051307</v>
      </c>
      <c r="G49" t="str">
        <f t="shared" si="3"/>
        <v>C3</v>
      </c>
      <c r="H49">
        <f t="shared" si="4"/>
        <v>841</v>
      </c>
    </row>
    <row r="50" spans="1:8" x14ac:dyDescent="0.3">
      <c r="A50">
        <v>49</v>
      </c>
      <c r="B50">
        <v>102</v>
      </c>
      <c r="C50">
        <v>2040</v>
      </c>
      <c r="D50">
        <f t="shared" si="0"/>
        <v>1755.2578158207984</v>
      </c>
      <c r="E50">
        <f t="shared" si="1"/>
        <v>991.31276598256318</v>
      </c>
      <c r="F50">
        <f t="shared" si="2"/>
        <v>810.93834537528187</v>
      </c>
      <c r="G50" t="str">
        <f t="shared" si="3"/>
        <v>C3</v>
      </c>
      <c r="H50">
        <f t="shared" si="4"/>
        <v>770.93709211582234</v>
      </c>
    </row>
    <row r="51" spans="1:8" x14ac:dyDescent="0.3">
      <c r="A51">
        <v>50</v>
      </c>
      <c r="B51">
        <v>100</v>
      </c>
      <c r="C51">
        <v>2010</v>
      </c>
      <c r="D51">
        <f t="shared" si="0"/>
        <v>1725.1950614350831</v>
      </c>
      <c r="E51">
        <f t="shared" si="1"/>
        <v>961.24970741217919</v>
      </c>
      <c r="F51">
        <f t="shared" si="2"/>
        <v>841</v>
      </c>
      <c r="G51" t="str">
        <f t="shared" si="3"/>
        <v>C3</v>
      </c>
      <c r="H51">
        <f t="shared" si="4"/>
        <v>700.87445380752752</v>
      </c>
    </row>
    <row r="52" spans="1:8" x14ac:dyDescent="0.3">
      <c r="A52">
        <v>51</v>
      </c>
      <c r="B52">
        <v>103</v>
      </c>
      <c r="C52">
        <v>2080</v>
      </c>
      <c r="D52">
        <f t="shared" si="0"/>
        <v>1795.2573631655157</v>
      </c>
      <c r="E52">
        <f t="shared" si="1"/>
        <v>1031.3117860278724</v>
      </c>
      <c r="F52">
        <f t="shared" si="2"/>
        <v>770.93709211582234</v>
      </c>
      <c r="G52" t="str">
        <f t="shared" si="3"/>
        <v>C3</v>
      </c>
      <c r="H52">
        <f t="shared" si="4"/>
        <v>630.81217489836069</v>
      </c>
    </row>
    <row r="53" spans="1:8" x14ac:dyDescent="0.3">
      <c r="A53">
        <v>52</v>
      </c>
      <c r="B53">
        <v>106</v>
      </c>
      <c r="C53">
        <v>2150</v>
      </c>
      <c r="D53">
        <f t="shared" si="0"/>
        <v>1865.3198117213037</v>
      </c>
      <c r="E53">
        <f t="shared" si="1"/>
        <v>1101.3741416975431</v>
      </c>
      <c r="F53">
        <f t="shared" si="2"/>
        <v>700.87445380752752</v>
      </c>
      <c r="G53" t="str">
        <f t="shared" si="3"/>
        <v>C3</v>
      </c>
      <c r="H53">
        <f t="shared" si="4"/>
        <v>560.7503901024055</v>
      </c>
    </row>
    <row r="54" spans="1:8" x14ac:dyDescent="0.3">
      <c r="A54">
        <v>53</v>
      </c>
      <c r="B54">
        <v>109</v>
      </c>
      <c r="C54">
        <v>2220</v>
      </c>
      <c r="D54">
        <f t="shared" si="0"/>
        <v>1935.3823911568484</v>
      </c>
      <c r="E54">
        <f t="shared" si="1"/>
        <v>1171.4367247103021</v>
      </c>
      <c r="F54">
        <f t="shared" si="2"/>
        <v>630.81217489836069</v>
      </c>
      <c r="G54" t="str">
        <f t="shared" si="3"/>
        <v>C3</v>
      </c>
      <c r="H54">
        <f t="shared" si="4"/>
        <v>590.81384547080484</v>
      </c>
    </row>
    <row r="55" spans="1:8" x14ac:dyDescent="0.3">
      <c r="A55">
        <v>54</v>
      </c>
      <c r="B55">
        <v>112</v>
      </c>
      <c r="C55">
        <v>2290</v>
      </c>
      <c r="D55">
        <f t="shared" si="0"/>
        <v>2005.4450877548356</v>
      </c>
      <c r="E55">
        <f t="shared" si="1"/>
        <v>1241.4994965766195</v>
      </c>
      <c r="F55">
        <f t="shared" si="2"/>
        <v>560.7503901024055</v>
      </c>
      <c r="G55" t="str">
        <f t="shared" si="3"/>
        <v>C3</v>
      </c>
      <c r="H55">
        <f t="shared" si="4"/>
        <v>590.66403310172871</v>
      </c>
    </row>
    <row r="56" spans="1:8" x14ac:dyDescent="0.3">
      <c r="A56">
        <v>55</v>
      </c>
      <c r="B56">
        <v>110</v>
      </c>
      <c r="C56">
        <v>2260</v>
      </c>
      <c r="D56">
        <f t="shared" si="0"/>
        <v>1975.3830008380653</v>
      </c>
      <c r="E56">
        <f t="shared" si="1"/>
        <v>1211.4375757751613</v>
      </c>
      <c r="F56">
        <f t="shared" si="2"/>
        <v>590.81384547080484</v>
      </c>
      <c r="G56" t="str">
        <f t="shared" si="3"/>
        <v>C3</v>
      </c>
      <c r="H56">
        <f t="shared" si="4"/>
        <v>520.60061467501168</v>
      </c>
    </row>
    <row r="57" spans="1:8" x14ac:dyDescent="0.3">
      <c r="A57">
        <v>56</v>
      </c>
      <c r="B57">
        <v>113</v>
      </c>
      <c r="C57">
        <v>2260</v>
      </c>
      <c r="D57">
        <f t="shared" si="0"/>
        <v>1975.5325864181536</v>
      </c>
      <c r="E57">
        <f t="shared" si="1"/>
        <v>1211.587388511452</v>
      </c>
      <c r="F57">
        <f t="shared" si="2"/>
        <v>590.66403310172871</v>
      </c>
      <c r="G57" t="str">
        <f t="shared" si="3"/>
        <v>C3</v>
      </c>
      <c r="H57">
        <f t="shared" si="4"/>
        <v>450.53745682240452</v>
      </c>
    </row>
    <row r="58" spans="1:8" x14ac:dyDescent="0.3">
      <c r="A58">
        <v>57</v>
      </c>
      <c r="B58">
        <v>116</v>
      </c>
      <c r="C58">
        <v>2330</v>
      </c>
      <c r="D58">
        <f t="shared" si="0"/>
        <v>2045.5947790312723</v>
      </c>
      <c r="E58">
        <f t="shared" si="1"/>
        <v>1281.6493280144925</v>
      </c>
      <c r="F58">
        <f t="shared" si="2"/>
        <v>520.60061467501168</v>
      </c>
      <c r="G58" t="str">
        <f t="shared" si="3"/>
        <v>C3</v>
      </c>
      <c r="H58">
        <f t="shared" si="4"/>
        <v>380.47470349551492</v>
      </c>
    </row>
    <row r="59" spans="1:8" x14ac:dyDescent="0.3">
      <c r="A59">
        <v>58</v>
      </c>
      <c r="B59">
        <v>119</v>
      </c>
      <c r="C59">
        <v>2400</v>
      </c>
      <c r="D59">
        <f t="shared" si="0"/>
        <v>2115.6571083235581</v>
      </c>
      <c r="E59">
        <f t="shared" si="1"/>
        <v>1351.7115076820201</v>
      </c>
      <c r="F59">
        <f t="shared" si="2"/>
        <v>450.53745682240452</v>
      </c>
      <c r="G59" t="str">
        <f t="shared" si="3"/>
        <v>C3</v>
      </c>
      <c r="H59">
        <f t="shared" si="4"/>
        <v>410.5374526154709</v>
      </c>
    </row>
    <row r="60" spans="1:8" x14ac:dyDescent="0.3">
      <c r="A60">
        <v>59</v>
      </c>
      <c r="B60">
        <v>122</v>
      </c>
      <c r="C60">
        <v>2470</v>
      </c>
      <c r="D60">
        <f t="shared" si="0"/>
        <v>2185.7195611514298</v>
      </c>
      <c r="E60">
        <f t="shared" si="1"/>
        <v>1421.7738920095558</v>
      </c>
      <c r="F60">
        <f t="shared" si="2"/>
        <v>380.47470349551492</v>
      </c>
      <c r="G60" t="str">
        <f t="shared" si="3"/>
        <v>C3</v>
      </c>
      <c r="H60">
        <f t="shared" si="4"/>
        <v>340.47613719613304</v>
      </c>
    </row>
    <row r="61" spans="1:8" x14ac:dyDescent="0.3">
      <c r="A61">
        <v>60</v>
      </c>
      <c r="B61">
        <v>120</v>
      </c>
      <c r="C61">
        <v>2440</v>
      </c>
      <c r="D61">
        <f t="shared" si="0"/>
        <v>2155.6572083705701</v>
      </c>
      <c r="E61">
        <f t="shared" si="1"/>
        <v>1391.7115362028153</v>
      </c>
      <c r="F61">
        <f t="shared" si="2"/>
        <v>410.5374526154709</v>
      </c>
      <c r="G61" t="str">
        <f t="shared" si="3"/>
        <v>C3</v>
      </c>
      <c r="H61">
        <f t="shared" si="4"/>
        <v>270.41634565979922</v>
      </c>
    </row>
    <row r="62" spans="1:8" x14ac:dyDescent="0.3">
      <c r="A62">
        <v>61</v>
      </c>
      <c r="B62">
        <v>123</v>
      </c>
      <c r="C62">
        <v>2510</v>
      </c>
      <c r="D62">
        <f t="shared" si="0"/>
        <v>2225.7198835432996</v>
      </c>
      <c r="E62">
        <f t="shared" si="1"/>
        <v>1461.7742643787378</v>
      </c>
      <c r="F62">
        <f t="shared" si="2"/>
        <v>340.47613719613304</v>
      </c>
      <c r="G62" t="str">
        <f t="shared" si="3"/>
        <v>C3</v>
      </c>
      <c r="H62">
        <f t="shared" si="4"/>
        <v>270.26653510932499</v>
      </c>
    </row>
    <row r="63" spans="1:8" x14ac:dyDescent="0.3">
      <c r="A63">
        <v>62</v>
      </c>
      <c r="B63">
        <v>126</v>
      </c>
      <c r="C63">
        <v>2580</v>
      </c>
      <c r="D63">
        <f t="shared" si="0"/>
        <v>2295.7826552180413</v>
      </c>
      <c r="E63">
        <f t="shared" si="1"/>
        <v>1531.8371323348968</v>
      </c>
      <c r="F63">
        <f t="shared" si="2"/>
        <v>270.41634565979922</v>
      </c>
      <c r="G63" t="str">
        <f t="shared" si="3"/>
        <v>C3</v>
      </c>
      <c r="H63">
        <f t="shared" si="4"/>
        <v>200.2023975880409</v>
      </c>
    </row>
    <row r="64" spans="1:8" x14ac:dyDescent="0.3">
      <c r="A64">
        <v>63</v>
      </c>
      <c r="B64">
        <v>129</v>
      </c>
      <c r="C64">
        <v>2580</v>
      </c>
      <c r="D64">
        <f t="shared" si="0"/>
        <v>2295.9322725202501</v>
      </c>
      <c r="E64">
        <f t="shared" si="1"/>
        <v>1531.9869451140894</v>
      </c>
      <c r="F64">
        <f t="shared" si="2"/>
        <v>270.26653510932499</v>
      </c>
      <c r="G64" t="str">
        <f t="shared" si="3"/>
        <v>C3</v>
      </c>
      <c r="H64">
        <f t="shared" si="4"/>
        <v>230.26289323293059</v>
      </c>
    </row>
    <row r="65" spans="1:8" x14ac:dyDescent="0.3">
      <c r="A65">
        <v>64</v>
      </c>
      <c r="B65">
        <v>132</v>
      </c>
      <c r="C65">
        <v>2650</v>
      </c>
      <c r="D65">
        <f t="shared" si="0"/>
        <v>2365.9945054881255</v>
      </c>
      <c r="E65">
        <f t="shared" si="1"/>
        <v>1602.0490004990484</v>
      </c>
      <c r="F65">
        <f t="shared" si="2"/>
        <v>200.2023975880409</v>
      </c>
      <c r="G65" t="str">
        <f t="shared" si="3"/>
        <v>C3</v>
      </c>
      <c r="H65">
        <f t="shared" si="4"/>
        <v>160.1998751560063</v>
      </c>
    </row>
    <row r="66" spans="1:8" x14ac:dyDescent="0.3">
      <c r="A66">
        <v>65</v>
      </c>
      <c r="B66">
        <v>130</v>
      </c>
      <c r="C66">
        <v>2620</v>
      </c>
      <c r="D66">
        <f t="shared" si="0"/>
        <v>2335.9319339398571</v>
      </c>
      <c r="E66">
        <f t="shared" si="1"/>
        <v>1571.9863230957196</v>
      </c>
      <c r="F66">
        <f t="shared" si="2"/>
        <v>230.26289323293059</v>
      </c>
      <c r="G66" t="str">
        <f t="shared" si="3"/>
        <v>C3</v>
      </c>
      <c r="H66">
        <f t="shared" si="4"/>
        <v>90.13878188659973</v>
      </c>
    </row>
    <row r="67" spans="1:8" x14ac:dyDescent="0.3">
      <c r="A67">
        <v>66</v>
      </c>
      <c r="B67">
        <v>133</v>
      </c>
      <c r="C67">
        <v>2690</v>
      </c>
      <c r="D67">
        <f t="shared" ref="D67:D101" si="5">SQRT((B67-$K$2)^2+(C67-$L$2)^2)</f>
        <v>2405.9943890208888</v>
      </c>
      <c r="E67">
        <f t="shared" ref="E67:E101" si="6">SQRT((B67-$K$3)^2+(C67-$L$3)^2)</f>
        <v>1642.0487203490645</v>
      </c>
      <c r="F67">
        <f t="shared" ref="F67:F101" si="7">SQRT((B67-$K$4)^2+(C67-$L$4)^2)</f>
        <v>160.1998751560063</v>
      </c>
      <c r="G67" t="str">
        <f t="shared" ref="G67:G101" si="8">IF(D67=MIN(D67:F67),"C1",IF(E67=MIN(D67:F67),"C2","C3"))</f>
        <v>C3</v>
      </c>
      <c r="H67">
        <f t="shared" ref="H67:H101" si="9">MIN(D69:F69)</f>
        <v>20.09975124224178</v>
      </c>
    </row>
    <row r="68" spans="1:8" x14ac:dyDescent="0.3">
      <c r="A68">
        <v>67</v>
      </c>
      <c r="B68">
        <v>136</v>
      </c>
      <c r="C68">
        <v>2760</v>
      </c>
      <c r="D68">
        <f t="shared" si="5"/>
        <v>2476.05694603335</v>
      </c>
      <c r="E68">
        <f t="shared" si="6"/>
        <v>1712.1112697485523</v>
      </c>
      <c r="F68">
        <f t="shared" si="7"/>
        <v>90.13878188659973</v>
      </c>
      <c r="G68" t="str">
        <f t="shared" si="8"/>
        <v>C3</v>
      </c>
      <c r="H68">
        <f t="shared" si="9"/>
        <v>50.009999000199947</v>
      </c>
    </row>
    <row r="69" spans="1:8" x14ac:dyDescent="0.3">
      <c r="A69">
        <v>68</v>
      </c>
      <c r="B69">
        <v>139</v>
      </c>
      <c r="C69">
        <v>2830</v>
      </c>
      <c r="D69">
        <f t="shared" si="5"/>
        <v>2546.1195965625811</v>
      </c>
      <c r="E69">
        <f t="shared" si="6"/>
        <v>1782.1739533502334</v>
      </c>
      <c r="F69">
        <f t="shared" si="7"/>
        <v>20.09975124224178</v>
      </c>
      <c r="G69" t="str">
        <f t="shared" si="8"/>
        <v>C3</v>
      </c>
      <c r="H69">
        <f t="shared" si="9"/>
        <v>50.009999000199947</v>
      </c>
    </row>
    <row r="70" spans="1:8" x14ac:dyDescent="0.3">
      <c r="A70">
        <v>69</v>
      </c>
      <c r="B70">
        <v>142</v>
      </c>
      <c r="C70">
        <v>2900</v>
      </c>
      <c r="D70">
        <f t="shared" si="5"/>
        <v>2616.1823330953061</v>
      </c>
      <c r="E70">
        <f t="shared" si="6"/>
        <v>1852.2367559251165</v>
      </c>
      <c r="F70">
        <f t="shared" si="7"/>
        <v>50.009999000199947</v>
      </c>
      <c r="G70" t="str">
        <f t="shared" si="8"/>
        <v>C3</v>
      </c>
      <c r="H70">
        <f t="shared" si="9"/>
        <v>20.09975124224178</v>
      </c>
    </row>
    <row r="71" spans="1:8" x14ac:dyDescent="0.3">
      <c r="A71">
        <v>70</v>
      </c>
      <c r="B71">
        <v>140</v>
      </c>
      <c r="C71">
        <v>2800</v>
      </c>
      <c r="D71">
        <f t="shared" si="5"/>
        <v>2516.207066201031</v>
      </c>
      <c r="E71">
        <f t="shared" si="6"/>
        <v>1752.2616813706793</v>
      </c>
      <c r="F71">
        <f t="shared" si="7"/>
        <v>50.009999000199947</v>
      </c>
      <c r="G71" t="str">
        <f t="shared" si="8"/>
        <v>C3</v>
      </c>
      <c r="H71">
        <f t="shared" si="9"/>
        <v>90.13878188659973</v>
      </c>
    </row>
    <row r="72" spans="1:8" x14ac:dyDescent="0.3">
      <c r="A72">
        <v>71</v>
      </c>
      <c r="B72">
        <v>143</v>
      </c>
      <c r="C72">
        <v>2870</v>
      </c>
      <c r="D72">
        <f t="shared" si="5"/>
        <v>2586.2693208558153</v>
      </c>
      <c r="E72">
        <f t="shared" si="6"/>
        <v>1822.3237912072595</v>
      </c>
      <c r="F72">
        <f t="shared" si="7"/>
        <v>20.09975124224178</v>
      </c>
      <c r="G72" t="str">
        <f t="shared" si="8"/>
        <v>C3</v>
      </c>
      <c r="H72">
        <f t="shared" si="9"/>
        <v>160.1998751560063</v>
      </c>
    </row>
    <row r="73" spans="1:8" x14ac:dyDescent="0.3">
      <c r="A73">
        <v>72</v>
      </c>
      <c r="B73">
        <v>146</v>
      </c>
      <c r="C73">
        <v>2940</v>
      </c>
      <c r="D73">
        <f t="shared" si="5"/>
        <v>2656.3316810970728</v>
      </c>
      <c r="E73">
        <f t="shared" si="6"/>
        <v>1892.3860599782488</v>
      </c>
      <c r="F73">
        <f t="shared" si="7"/>
        <v>90.13878188659973</v>
      </c>
      <c r="G73" t="str">
        <f t="shared" si="8"/>
        <v>C3</v>
      </c>
      <c r="H73">
        <f t="shared" si="9"/>
        <v>230.26289323293059</v>
      </c>
    </row>
    <row r="74" spans="1:8" x14ac:dyDescent="0.3">
      <c r="A74">
        <v>73</v>
      </c>
      <c r="B74">
        <v>149</v>
      </c>
      <c r="C74">
        <v>3010</v>
      </c>
      <c r="D74">
        <f t="shared" si="5"/>
        <v>2726.3941387847794</v>
      </c>
      <c r="E74">
        <f t="shared" si="6"/>
        <v>1962.448470661077</v>
      </c>
      <c r="F74">
        <f t="shared" si="7"/>
        <v>160.1998751560063</v>
      </c>
      <c r="G74" t="str">
        <f t="shared" si="8"/>
        <v>C3</v>
      </c>
      <c r="H74">
        <f t="shared" si="9"/>
        <v>200.2023975880409</v>
      </c>
    </row>
    <row r="75" spans="1:8" x14ac:dyDescent="0.3">
      <c r="A75">
        <v>74</v>
      </c>
      <c r="B75">
        <v>152</v>
      </c>
      <c r="C75">
        <v>3080</v>
      </c>
      <c r="D75">
        <f t="shared" si="5"/>
        <v>2796.4566865946626</v>
      </c>
      <c r="E75">
        <f t="shared" si="6"/>
        <v>2032.5110085802733</v>
      </c>
      <c r="F75">
        <f t="shared" si="7"/>
        <v>230.26289323293059</v>
      </c>
      <c r="G75" t="str">
        <f t="shared" si="8"/>
        <v>C3</v>
      </c>
      <c r="H75">
        <f t="shared" si="9"/>
        <v>270.26653510932499</v>
      </c>
    </row>
    <row r="76" spans="1:8" x14ac:dyDescent="0.3">
      <c r="A76">
        <v>75</v>
      </c>
      <c r="B76">
        <v>150</v>
      </c>
      <c r="C76">
        <v>3050</v>
      </c>
      <c r="D76">
        <f t="shared" si="5"/>
        <v>2766.3944042742714</v>
      </c>
      <c r="E76">
        <f t="shared" si="6"/>
        <v>2002.4487509047517</v>
      </c>
      <c r="F76">
        <f t="shared" si="7"/>
        <v>200.2023975880409</v>
      </c>
      <c r="G76" t="str">
        <f t="shared" si="8"/>
        <v>C3</v>
      </c>
      <c r="H76">
        <f t="shared" si="9"/>
        <v>270.41634565979922</v>
      </c>
    </row>
    <row r="77" spans="1:8" x14ac:dyDescent="0.3">
      <c r="A77">
        <v>76</v>
      </c>
      <c r="B77">
        <v>153</v>
      </c>
      <c r="C77">
        <v>3120</v>
      </c>
      <c r="D77">
        <f t="shared" si="5"/>
        <v>2836.4571211283983</v>
      </c>
      <c r="E77">
        <f t="shared" si="6"/>
        <v>2072.5115198714821</v>
      </c>
      <c r="F77">
        <f t="shared" si="7"/>
        <v>270.26653510932499</v>
      </c>
      <c r="G77" t="str">
        <f t="shared" si="8"/>
        <v>C3</v>
      </c>
      <c r="H77">
        <f t="shared" si="9"/>
        <v>340.47613719613304</v>
      </c>
    </row>
    <row r="78" spans="1:8" x14ac:dyDescent="0.3">
      <c r="A78">
        <v>77</v>
      </c>
      <c r="B78">
        <v>156</v>
      </c>
      <c r="C78">
        <v>3120</v>
      </c>
      <c r="D78">
        <f t="shared" si="5"/>
        <v>2836.6067757093156</v>
      </c>
      <c r="E78">
        <f t="shared" si="6"/>
        <v>2072.6613326831762</v>
      </c>
      <c r="F78">
        <f t="shared" si="7"/>
        <v>270.41634565979922</v>
      </c>
      <c r="G78" t="str">
        <f t="shared" si="8"/>
        <v>C3</v>
      </c>
      <c r="H78">
        <f t="shared" si="9"/>
        <v>410.5374526154709</v>
      </c>
    </row>
    <row r="79" spans="1:8" x14ac:dyDescent="0.3">
      <c r="A79">
        <v>78</v>
      </c>
      <c r="B79">
        <v>159</v>
      </c>
      <c r="C79">
        <v>3190</v>
      </c>
      <c r="D79">
        <f t="shared" si="5"/>
        <v>2906.6690558094156</v>
      </c>
      <c r="E79">
        <f t="shared" si="6"/>
        <v>2142.7235005945122</v>
      </c>
      <c r="F79">
        <f t="shared" si="7"/>
        <v>340.47613719613304</v>
      </c>
      <c r="G79" t="str">
        <f t="shared" si="8"/>
        <v>C3</v>
      </c>
      <c r="H79">
        <f t="shared" si="9"/>
        <v>380.47470349551492</v>
      </c>
    </row>
    <row r="80" spans="1:8" x14ac:dyDescent="0.3">
      <c r="A80">
        <v>79</v>
      </c>
      <c r="B80">
        <v>162</v>
      </c>
      <c r="C80">
        <v>3260</v>
      </c>
      <c r="D80">
        <f t="shared" si="5"/>
        <v>2976.7314289334199</v>
      </c>
      <c r="E80">
        <f t="shared" si="6"/>
        <v>2212.7858007498148</v>
      </c>
      <c r="F80">
        <f t="shared" si="7"/>
        <v>410.5374526154709</v>
      </c>
      <c r="G80" t="str">
        <f t="shared" si="8"/>
        <v>C3</v>
      </c>
      <c r="H80">
        <f t="shared" si="9"/>
        <v>450.53745682240452</v>
      </c>
    </row>
    <row r="81" spans="1:8" x14ac:dyDescent="0.3">
      <c r="A81">
        <v>80</v>
      </c>
      <c r="B81">
        <v>160</v>
      </c>
      <c r="C81">
        <v>3230</v>
      </c>
      <c r="D81">
        <f t="shared" si="5"/>
        <v>2946.6689668165986</v>
      </c>
      <c r="E81">
        <f t="shared" si="6"/>
        <v>2182.7232990005855</v>
      </c>
      <c r="F81">
        <f t="shared" si="7"/>
        <v>380.47470349551492</v>
      </c>
      <c r="G81" t="str">
        <f t="shared" si="8"/>
        <v>C3</v>
      </c>
      <c r="H81">
        <f t="shared" si="9"/>
        <v>520.60061467501168</v>
      </c>
    </row>
    <row r="82" spans="1:8" x14ac:dyDescent="0.3">
      <c r="A82">
        <v>81</v>
      </c>
      <c r="B82">
        <v>163</v>
      </c>
      <c r="C82">
        <v>3300</v>
      </c>
      <c r="D82">
        <f t="shared" si="5"/>
        <v>3016.7315094320211</v>
      </c>
      <c r="E82">
        <f t="shared" si="6"/>
        <v>2252.7858309213507</v>
      </c>
      <c r="F82">
        <f t="shared" si="7"/>
        <v>450.53745682240452</v>
      </c>
      <c r="G82" t="str">
        <f t="shared" si="8"/>
        <v>C3</v>
      </c>
      <c r="H82">
        <f t="shared" si="9"/>
        <v>590.66403310172871</v>
      </c>
    </row>
    <row r="83" spans="1:8" x14ac:dyDescent="0.3">
      <c r="A83">
        <v>82</v>
      </c>
      <c r="B83">
        <v>166</v>
      </c>
      <c r="C83">
        <v>3370</v>
      </c>
      <c r="D83">
        <f t="shared" si="5"/>
        <v>3086.7941298376218</v>
      </c>
      <c r="E83">
        <f t="shared" si="6"/>
        <v>2322.8484668613232</v>
      </c>
      <c r="F83">
        <f t="shared" si="7"/>
        <v>520.60061467501168</v>
      </c>
      <c r="G83" t="str">
        <f t="shared" si="8"/>
        <v>C3</v>
      </c>
      <c r="H83">
        <f t="shared" si="9"/>
        <v>590.81384547080484</v>
      </c>
    </row>
    <row r="84" spans="1:8" x14ac:dyDescent="0.3">
      <c r="A84">
        <v>83</v>
      </c>
      <c r="B84">
        <v>169</v>
      </c>
      <c r="C84">
        <v>3440</v>
      </c>
      <c r="D84">
        <f t="shared" si="5"/>
        <v>3156.8568228540234</v>
      </c>
      <c r="E84">
        <f t="shared" si="6"/>
        <v>2392.9111976836916</v>
      </c>
      <c r="F84">
        <f t="shared" si="7"/>
        <v>590.66403310172871</v>
      </c>
      <c r="G84" t="str">
        <f t="shared" si="8"/>
        <v>C3</v>
      </c>
      <c r="H84">
        <f t="shared" si="9"/>
        <v>560.7503901024055</v>
      </c>
    </row>
    <row r="85" spans="1:8" x14ac:dyDescent="0.3">
      <c r="A85">
        <v>84</v>
      </c>
      <c r="B85">
        <v>172</v>
      </c>
      <c r="C85">
        <v>3440</v>
      </c>
      <c r="D85">
        <f t="shared" si="5"/>
        <v>3157.0064934998154</v>
      </c>
      <c r="E85">
        <f t="shared" si="6"/>
        <v>2393.0610105051646</v>
      </c>
      <c r="F85">
        <f t="shared" si="7"/>
        <v>590.81384547080484</v>
      </c>
      <c r="G85" t="str">
        <f t="shared" si="8"/>
        <v>C3</v>
      </c>
      <c r="H85">
        <f t="shared" si="9"/>
        <v>630.81217489836069</v>
      </c>
    </row>
    <row r="86" spans="1:8" x14ac:dyDescent="0.3">
      <c r="A86">
        <v>85</v>
      </c>
      <c r="B86">
        <v>170</v>
      </c>
      <c r="C86">
        <v>3410</v>
      </c>
      <c r="D86">
        <f t="shared" si="5"/>
        <v>3126.9438754157391</v>
      </c>
      <c r="E86">
        <f t="shared" si="6"/>
        <v>2362.9983072359573</v>
      </c>
      <c r="F86">
        <f t="shared" si="7"/>
        <v>560.7503901024055</v>
      </c>
      <c r="G86" t="str">
        <f t="shared" si="8"/>
        <v>C3</v>
      </c>
      <c r="H86">
        <f t="shared" si="9"/>
        <v>700.87445380752752</v>
      </c>
    </row>
    <row r="87" spans="1:8" x14ac:dyDescent="0.3">
      <c r="A87">
        <v>86</v>
      </c>
      <c r="B87">
        <v>173</v>
      </c>
      <c r="C87">
        <v>3480</v>
      </c>
      <c r="D87">
        <f t="shared" si="5"/>
        <v>3197.0062558587524</v>
      </c>
      <c r="E87">
        <f t="shared" si="6"/>
        <v>2433.0606239878198</v>
      </c>
      <c r="F87">
        <f t="shared" si="7"/>
        <v>630.81217489836069</v>
      </c>
      <c r="G87" t="str">
        <f t="shared" si="8"/>
        <v>C3</v>
      </c>
      <c r="H87">
        <f t="shared" si="9"/>
        <v>770.93709211582234</v>
      </c>
    </row>
    <row r="88" spans="1:8" x14ac:dyDescent="0.3">
      <c r="A88">
        <v>87</v>
      </c>
      <c r="B88">
        <v>176</v>
      </c>
      <c r="C88">
        <v>3550</v>
      </c>
      <c r="D88">
        <f t="shared" si="5"/>
        <v>3267.0687167551282</v>
      </c>
      <c r="E88">
        <f t="shared" si="6"/>
        <v>2503.1230493125981</v>
      </c>
      <c r="F88">
        <f t="shared" si="7"/>
        <v>700.87445380752752</v>
      </c>
      <c r="G88" t="str">
        <f t="shared" si="8"/>
        <v>C3</v>
      </c>
      <c r="H88">
        <f t="shared" si="9"/>
        <v>841</v>
      </c>
    </row>
    <row r="89" spans="1:8" x14ac:dyDescent="0.3">
      <c r="A89">
        <v>88</v>
      </c>
      <c r="B89">
        <v>179</v>
      </c>
      <c r="C89">
        <v>3620</v>
      </c>
      <c r="D89">
        <f t="shared" si="5"/>
        <v>3337.1312530375549</v>
      </c>
      <c r="E89">
        <f t="shared" si="6"/>
        <v>2573.1855743416563</v>
      </c>
      <c r="F89">
        <f t="shared" si="7"/>
        <v>770.93709211582234</v>
      </c>
      <c r="G89" t="str">
        <f t="shared" si="8"/>
        <v>C3</v>
      </c>
      <c r="H89">
        <f t="shared" si="9"/>
        <v>810.93834537528187</v>
      </c>
    </row>
    <row r="90" spans="1:8" x14ac:dyDescent="0.3">
      <c r="A90">
        <v>89</v>
      </c>
      <c r="B90">
        <v>182</v>
      </c>
      <c r="C90">
        <v>3690</v>
      </c>
      <c r="D90">
        <f t="shared" si="5"/>
        <v>3407.193860055515</v>
      </c>
      <c r="E90">
        <f t="shared" si="6"/>
        <v>2643.248191146643</v>
      </c>
      <c r="F90">
        <f t="shared" si="7"/>
        <v>841</v>
      </c>
      <c r="G90" t="str">
        <f t="shared" si="8"/>
        <v>C3</v>
      </c>
      <c r="H90">
        <f t="shared" si="9"/>
        <v>811.08815797051307</v>
      </c>
    </row>
    <row r="91" spans="1:8" x14ac:dyDescent="0.3">
      <c r="A91">
        <v>90</v>
      </c>
      <c r="B91">
        <v>180</v>
      </c>
      <c r="C91">
        <v>3660</v>
      </c>
      <c r="D91">
        <f t="shared" si="5"/>
        <v>3377.131623138192</v>
      </c>
      <c r="E91">
        <f t="shared" si="6"/>
        <v>2613.1859864923508</v>
      </c>
      <c r="F91">
        <f t="shared" si="7"/>
        <v>810.93834537528187</v>
      </c>
      <c r="G91" t="str">
        <f t="shared" si="8"/>
        <v>C3</v>
      </c>
      <c r="H91">
        <f t="shared" si="9"/>
        <v>881.14981700049168</v>
      </c>
    </row>
    <row r="92" spans="1:8" x14ac:dyDescent="0.3">
      <c r="A92">
        <v>91</v>
      </c>
      <c r="B92">
        <v>183</v>
      </c>
      <c r="C92">
        <v>3660</v>
      </c>
      <c r="D92">
        <f t="shared" si="5"/>
        <v>3377.2813030601997</v>
      </c>
      <c r="E92">
        <f t="shared" si="6"/>
        <v>2613.3357993185646</v>
      </c>
      <c r="F92">
        <f t="shared" si="7"/>
        <v>811.08815797051307</v>
      </c>
      <c r="G92" t="str">
        <f t="shared" si="8"/>
        <v>C3</v>
      </c>
      <c r="H92">
        <f t="shared" si="9"/>
        <v>951.21185863087305</v>
      </c>
    </row>
    <row r="93" spans="1:8" x14ac:dyDescent="0.3">
      <c r="A93">
        <v>92</v>
      </c>
      <c r="B93">
        <v>186</v>
      </c>
      <c r="C93">
        <v>3730</v>
      </c>
      <c r="D93">
        <f t="shared" si="5"/>
        <v>3447.3436150172206</v>
      </c>
      <c r="E93">
        <f t="shared" si="6"/>
        <v>2683.3980323463011</v>
      </c>
      <c r="F93">
        <f t="shared" si="7"/>
        <v>881.14981700049168</v>
      </c>
      <c r="G93" t="str">
        <f t="shared" si="8"/>
        <v>C3</v>
      </c>
      <c r="H93">
        <f t="shared" si="9"/>
        <v>1021.2742041195401</v>
      </c>
    </row>
    <row r="94" spans="1:8" x14ac:dyDescent="0.3">
      <c r="A94">
        <v>93</v>
      </c>
      <c r="B94">
        <v>189</v>
      </c>
      <c r="C94">
        <v>3800</v>
      </c>
      <c r="D94">
        <f t="shared" si="5"/>
        <v>3517.406004429969</v>
      </c>
      <c r="E94">
        <f t="shared" si="6"/>
        <v>2753.4603683365408</v>
      </c>
      <c r="F94">
        <f t="shared" si="7"/>
        <v>951.21185863087305</v>
      </c>
      <c r="G94" t="str">
        <f t="shared" si="8"/>
        <v>C3</v>
      </c>
      <c r="H94">
        <f t="shared" si="9"/>
        <v>991.21188451309445</v>
      </c>
    </row>
    <row r="95" spans="1:8" x14ac:dyDescent="0.3">
      <c r="A95">
        <v>94</v>
      </c>
      <c r="B95">
        <v>192</v>
      </c>
      <c r="C95">
        <v>3870</v>
      </c>
      <c r="D95">
        <f t="shared" si="5"/>
        <v>3587.4684667603701</v>
      </c>
      <c r="E95">
        <f t="shared" si="6"/>
        <v>2823.5227996246108</v>
      </c>
      <c r="F95">
        <f t="shared" si="7"/>
        <v>1021.2742041195401</v>
      </c>
      <c r="G95" t="str">
        <f t="shared" si="8"/>
        <v>C3</v>
      </c>
      <c r="H95">
        <f t="shared" si="9"/>
        <v>1061.274705248363</v>
      </c>
    </row>
    <row r="96" spans="1:8" x14ac:dyDescent="0.3">
      <c r="A96">
        <v>95</v>
      </c>
      <c r="B96">
        <v>190</v>
      </c>
      <c r="C96">
        <v>3840</v>
      </c>
      <c r="D96">
        <f t="shared" si="5"/>
        <v>3557.4060774671198</v>
      </c>
      <c r="E96">
        <f t="shared" si="6"/>
        <v>2793.4603988601666</v>
      </c>
      <c r="F96">
        <f t="shared" si="7"/>
        <v>991.21188451309445</v>
      </c>
      <c r="G96" t="str">
        <f t="shared" si="8"/>
        <v>C3</v>
      </c>
      <c r="H96">
        <f t="shared" si="9"/>
        <v>1131.3377037825619</v>
      </c>
    </row>
    <row r="97" spans="1:8" x14ac:dyDescent="0.3">
      <c r="A97">
        <v>96</v>
      </c>
      <c r="B97">
        <v>193</v>
      </c>
      <c r="C97">
        <v>3910</v>
      </c>
      <c r="D97">
        <f t="shared" si="5"/>
        <v>3627.4686766394002</v>
      </c>
      <c r="E97">
        <f t="shared" si="6"/>
        <v>2863.5230049713236</v>
      </c>
      <c r="F97">
        <f t="shared" si="7"/>
        <v>1061.274705248363</v>
      </c>
      <c r="G97" t="str">
        <f t="shared" si="8"/>
        <v>C3</v>
      </c>
      <c r="H97">
        <f t="shared" si="9"/>
        <v>1131.4875165020603</v>
      </c>
    </row>
    <row r="98" spans="1:8" x14ac:dyDescent="0.3">
      <c r="A98">
        <v>97</v>
      </c>
      <c r="B98">
        <v>196</v>
      </c>
      <c r="C98">
        <v>3980</v>
      </c>
      <c r="D98">
        <f t="shared" si="5"/>
        <v>3697.5313386095863</v>
      </c>
      <c r="E98">
        <f t="shared" si="6"/>
        <v>2933.5856899023761</v>
      </c>
      <c r="F98">
        <f t="shared" si="7"/>
        <v>1131.3377037825619</v>
      </c>
      <c r="G98" t="str">
        <f t="shared" si="8"/>
        <v>C3</v>
      </c>
      <c r="H98">
        <f t="shared" si="9"/>
        <v>1201.5494163787023</v>
      </c>
    </row>
    <row r="99" spans="1:8" x14ac:dyDescent="0.3">
      <c r="A99">
        <v>98</v>
      </c>
      <c r="B99">
        <v>199</v>
      </c>
      <c r="C99">
        <v>3980</v>
      </c>
      <c r="D99">
        <f t="shared" si="5"/>
        <v>3697.681030051132</v>
      </c>
      <c r="E99">
        <f t="shared" si="6"/>
        <v>2933.7355027336735</v>
      </c>
      <c r="F99">
        <f t="shared" si="7"/>
        <v>1131.4875165020603</v>
      </c>
      <c r="G99" t="str">
        <f t="shared" si="8"/>
        <v>C3</v>
      </c>
      <c r="H99">
        <f t="shared" si="9"/>
        <v>1171.4866623227088</v>
      </c>
    </row>
    <row r="100" spans="1:8" x14ac:dyDescent="0.3">
      <c r="A100">
        <v>99</v>
      </c>
      <c r="B100">
        <v>202</v>
      </c>
      <c r="C100">
        <v>4050</v>
      </c>
      <c r="D100">
        <f t="shared" si="5"/>
        <v>3767.7433564402977</v>
      </c>
      <c r="E100">
        <f t="shared" si="6"/>
        <v>3003.7977628329108</v>
      </c>
      <c r="F100">
        <f t="shared" si="7"/>
        <v>1201.5494163787023</v>
      </c>
      <c r="G100" t="str">
        <f t="shared" si="8"/>
        <v>C3</v>
      </c>
      <c r="H100">
        <f t="shared" si="9"/>
        <v>0</v>
      </c>
    </row>
    <row r="101" spans="1:8" x14ac:dyDescent="0.3">
      <c r="A101">
        <v>100</v>
      </c>
      <c r="B101">
        <v>200</v>
      </c>
      <c r="C101">
        <v>4020</v>
      </c>
      <c r="D101">
        <f t="shared" si="5"/>
        <v>3737.6808317458035</v>
      </c>
      <c r="E101">
        <f t="shared" si="6"/>
        <v>2973.7351933216919</v>
      </c>
      <c r="F101">
        <f t="shared" si="7"/>
        <v>1171.4866623227088</v>
      </c>
      <c r="G101" t="str">
        <f t="shared" si="8"/>
        <v>C3</v>
      </c>
      <c r="H101">
        <f t="shared" si="9"/>
        <v>0</v>
      </c>
    </row>
    <row r="103" spans="1:8" x14ac:dyDescent="0.3">
      <c r="H103">
        <f>SUM(H2:H101)</f>
        <v>43255.371133321052</v>
      </c>
    </row>
  </sheetData>
  <mergeCells count="1">
    <mergeCell ref="J14:P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B70A-F6FE-47B6-9C44-AD3BA5AE6F65}">
  <dimension ref="A1:H19"/>
  <sheetViews>
    <sheetView tabSelected="1" workbookViewId="0">
      <selection activeCell="J17" sqref="J17"/>
    </sheetView>
  </sheetViews>
  <sheetFormatPr baseColWidth="10" defaultRowHeight="14.4" x14ac:dyDescent="0.3"/>
  <cols>
    <col min="2" max="2" width="12.21875" bestFit="1" customWidth="1"/>
  </cols>
  <sheetData>
    <row r="1" spans="1:2" x14ac:dyDescent="0.3">
      <c r="A1" t="s">
        <v>14</v>
      </c>
      <c r="B1" t="s">
        <v>15</v>
      </c>
    </row>
    <row r="2" spans="1:2" x14ac:dyDescent="0.3">
      <c r="A2">
        <v>1</v>
      </c>
      <c r="B2" s="1">
        <v>163752092</v>
      </c>
    </row>
    <row r="3" spans="1:2" x14ac:dyDescent="0.3">
      <c r="A3">
        <v>2</v>
      </c>
      <c r="B3" s="1">
        <v>42646001.994459823</v>
      </c>
    </row>
    <row r="4" spans="1:2" x14ac:dyDescent="0.3">
      <c r="A4">
        <v>3</v>
      </c>
      <c r="B4" s="1">
        <v>43255.371133321052</v>
      </c>
    </row>
    <row r="17" spans="2:8" x14ac:dyDescent="0.3">
      <c r="B17" s="2" t="s">
        <v>20</v>
      </c>
      <c r="C17" s="2"/>
      <c r="D17" s="2"/>
      <c r="E17" s="2"/>
      <c r="F17" s="2"/>
      <c r="G17" s="2"/>
      <c r="H17" s="2"/>
    </row>
    <row r="18" spans="2:8" x14ac:dyDescent="0.3">
      <c r="B18" s="2"/>
      <c r="C18" s="2"/>
      <c r="D18" s="2"/>
      <c r="E18" s="2"/>
      <c r="F18" s="2"/>
      <c r="G18" s="2"/>
      <c r="H18" s="2"/>
    </row>
    <row r="19" spans="2:8" x14ac:dyDescent="0.3">
      <c r="B19" s="2"/>
      <c r="C19" s="2"/>
      <c r="D19" s="2"/>
      <c r="E19" s="2"/>
      <c r="F19" s="2"/>
      <c r="G19" s="2"/>
      <c r="H19" s="2"/>
    </row>
  </sheetData>
  <mergeCells count="1">
    <mergeCell ref="B17:H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Iteracion 1</vt:lpstr>
      <vt:lpstr>Iteracion 2</vt:lpstr>
      <vt:lpstr>iteracion 3</vt:lpstr>
      <vt:lpstr>kmeans_dataset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AUDREY HOYA SALINAS</cp:lastModifiedBy>
  <dcterms:created xsi:type="dcterms:W3CDTF">2026-04-23T00:00:32Z</dcterms:created>
  <dcterms:modified xsi:type="dcterms:W3CDTF">2026-04-27T01:44:48Z</dcterms:modified>
</cp:coreProperties>
</file>